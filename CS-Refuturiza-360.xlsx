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ontas" sheetId="2" state="visible" r:id="rId4"/>
    <sheet name="Painel" sheetId="3" state="visible" r:id="rId5"/>
    <sheet name="Metodolog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<sst xmlns="http://schemas.openxmlformats.org/spreadsheetml/2006/main" count="165" uniqueCount="121">
  <si>
    <t xml:space="preserve">refuturiza 360</t>
  </si>
  <si>
    <t xml:space="preserve">Sistema de Acompanhamento de Customer Success</t>
  </si>
  <si>
    <t xml:space="preserve">Emprego e Educação para Todos</t>
  </si>
  <si>
    <t xml:space="preserve">COMO USAR</t>
  </si>
  <si>
    <t xml:space="preserve">1. Vá na aba CONTAS e preencha uma linha por cliente. Só edite as colunas AZUIS (entrada).</t>
  </si>
  <si>
    <t xml:space="preserve">2. As colunas LARANJAS são calculadas automaticamente: uso de licenças, sub-scores, Health Score, Risco de Churn, Farol, Upgrade.</t>
  </si>
  <si>
    <t xml:space="preserve">3. A aba PAINEL mostra os indicadores agregados (NRR, GRR, retenção de logos, ARR em risco, expansão potencial).</t>
  </si>
  <si>
    <t xml:space="preserve">4. A aba METODOLOGIA explica cada cálculo, as premissas e os pontos cegos de CS.</t>
  </si>
  <si>
    <t xml:space="preserve">PARA ALIMENTAR O DASHBOARD</t>
  </si>
  <si>
    <t xml:space="preserve">Salve a aba CONTAS como CSV (Arquivo &gt; Salvar como &gt; CSV) e importe no dashboard HTML (botão "Importar CSV").</t>
  </si>
  <si>
    <t xml:space="preserve">VERDADE IMPORTANTE</t>
  </si>
  <si>
    <t xml:space="preserve">O Risco de Churn aqui é um PROXY baseado em sinais de CRM/relacionamento/suporte — não usa dados de uso do produto (logins, features).</t>
  </si>
  <si>
    <t xml:space="preserve">É ótimo para priorizar atenção, mas não é um modelo preditivo validado. Para isso, conecte uma fonte de uso (ex: Amplitude) e valide o score contra churn real.</t>
  </si>
  <si>
    <t xml:space="preserve">As 12 linhas já preenchidas são EXEMPLOS fictícios. Substitua pelos seus clientes.</t>
  </si>
  <si>
    <t xml:space="preserve">CARTEIRA DE CLIENTES — preencha as colunas AZUIS</t>
  </si>
  <si>
    <t xml:space="preserve">Conta</t>
  </si>
  <si>
    <t xml:space="preserve">CSM</t>
  </si>
  <si>
    <t xml:space="preserve">Plano</t>
  </si>
  <si>
    <t xml:space="preserve">MRR inicial (12m atrás)</t>
  </si>
  <si>
    <t xml:space="preserve">MRR atual</t>
  </si>
  <si>
    <t xml:space="preserve">Licenças contratadas</t>
  </si>
  <si>
    <t xml:space="preserve">Licenças ativas</t>
  </si>
  <si>
    <t xml:space="preserve">Freq. login (0-100)</t>
  </si>
  <si>
    <t xml:space="preserve">Dias s/ contato</t>
  </si>
  <si>
    <t xml:space="preserve">Champion?</t>
  </si>
  <si>
    <t xml:space="preserve">Nº contatos engajados</t>
  </si>
  <si>
    <t xml:space="preserve">Tickets abertos</t>
  </si>
  <si>
    <t xml:space="preserve">Tickets críticos</t>
  </si>
  <si>
    <t xml:space="preserve">CSAT (0-100)</t>
  </si>
  <si>
    <t xml:space="preserve">NPS (-100..100)</t>
  </si>
  <si>
    <t xml:space="preserve">Pagamento</t>
  </si>
  <si>
    <t xml:space="preserve">Estágio jornada</t>
  </si>
  <si>
    <t xml:space="preserve">Dias p/ renovação</t>
  </si>
  <si>
    <t xml:space="preserve">Uso licenças %</t>
  </si>
  <si>
    <t xml:space="preserve">Sub Adoção</t>
  </si>
  <si>
    <t xml:space="preserve">Sub Relac.</t>
  </si>
  <si>
    <t xml:space="preserve">Sub Suporte</t>
  </si>
  <si>
    <t xml:space="preserve">Sub Comercial</t>
  </si>
  <si>
    <t xml:space="preserve">Sub Sentim.</t>
  </si>
  <si>
    <t xml:space="preserve">HEALTH SCORE</t>
  </si>
  <si>
    <t xml:space="preserve">RISCO CHURN</t>
  </si>
  <si>
    <t xml:space="preserve">FAROL</t>
  </si>
  <si>
    <t xml:space="preserve">Upgrade?</t>
  </si>
  <si>
    <t xml:space="preserve">Expansão pot. (R$/mês)</t>
  </si>
  <si>
    <t xml:space="preserve">Construtora Horizonte</t>
  </si>
  <si>
    <t xml:space="preserve">Marina</t>
  </si>
  <si>
    <t xml:space="preserve">Enterprise</t>
  </si>
  <si>
    <t xml:space="preserve">Sim</t>
  </si>
  <si>
    <t xml:space="preserve">Em dia</t>
  </si>
  <si>
    <t xml:space="preserve">Expansão</t>
  </si>
  <si>
    <t xml:space="preserve">Rede Bem Estar Saúde</t>
  </si>
  <si>
    <t xml:space="preserve">Rafael</t>
  </si>
  <si>
    <t xml:space="preserve">Growth</t>
  </si>
  <si>
    <t xml:space="preserve">Não</t>
  </si>
  <si>
    <t xml:space="preserve">Engajamento</t>
  </si>
  <si>
    <t xml:space="preserve">Grupo Varejo Sul</t>
  </si>
  <si>
    <t xml:space="preserve">Renovação</t>
  </si>
  <si>
    <t xml:space="preserve">TechNova Sistemas</t>
  </si>
  <si>
    <t xml:space="preserve">Bruno</t>
  </si>
  <si>
    <t xml:space="preserve">Atrasado</t>
  </si>
  <si>
    <t xml:space="preserve">Indústria Ferro Forte</t>
  </si>
  <si>
    <t xml:space="preserve">Starter</t>
  </si>
  <si>
    <t xml:space="preserve">Adoção</t>
  </si>
  <si>
    <t xml:space="preserve">Logística Andorinha</t>
  </si>
  <si>
    <t xml:space="preserve">Banco Coop Aliança</t>
  </si>
  <si>
    <t xml:space="preserve">Rede Educa Mais</t>
  </si>
  <si>
    <t xml:space="preserve">Advocacia</t>
  </si>
  <si>
    <t xml:space="preserve">Atacado Real Distrib.</t>
  </si>
  <si>
    <t xml:space="preserve">Onboarding</t>
  </si>
  <si>
    <t xml:space="preserve">Hospital Vida Plena</t>
  </si>
  <si>
    <t xml:space="preserve">Transportes Litoral</t>
  </si>
  <si>
    <t xml:space="preserve">AgroVerde Cooperativa</t>
  </si>
  <si>
    <t xml:space="preserve">PAINEL DE CUSTOMER SUCCESS</t>
  </si>
  <si>
    <t xml:space="preserve">Indicadores agregados — recalculados a partir da aba Contas</t>
  </si>
  <si>
    <t xml:space="preserve">NRR — Net Revenue Retention</t>
  </si>
  <si>
    <t xml:space="preserve">Métrica nº 1 do B2B SaaS. &gt;100% = base cresce mesmo perdendo clientes.</t>
  </si>
  <si>
    <t xml:space="preserve">GRR — Gross Revenue Retention</t>
  </si>
  <si>
    <t xml:space="preserve">Retenção sem crédito de expansão. Mede vazamento puro.</t>
  </si>
  <si>
    <t xml:space="preserve">Retenção de logos</t>
  </si>
  <si>
    <t xml:space="preserve">% de contas que continuaram (não churnaram).</t>
  </si>
  <si>
    <t xml:space="preserve">ARR ativo total</t>
  </si>
  <si>
    <t xml:space="preserve">Receita recorrente anual das contas ativas.</t>
  </si>
  <si>
    <t xml:space="preserve">Expansion MRR</t>
  </si>
  <si>
    <t xml:space="preserve">Soma dos aumentos de MRR nas contas retidas.</t>
  </si>
  <si>
    <t xml:space="preserve">ARR em risco (farol vermelho)</t>
  </si>
  <si>
    <t xml:space="preserve">Receita anual exposta em contas de risco.</t>
  </si>
  <si>
    <t xml:space="preserve">Health Score médio (ativos)</t>
  </si>
  <si>
    <t xml:space="preserve">Saúde média da carteira ativa (0-100).</t>
  </si>
  <si>
    <t xml:space="preserve">Contas saudáveis (verde)</t>
  </si>
  <si>
    <t xml:space="preserve">Contas em atenção (amarelo)</t>
  </si>
  <si>
    <t xml:space="preserve">Contas em risco (vermelho)</t>
  </si>
  <si>
    <t xml:space="preserve">Oportunidades de upgrade</t>
  </si>
  <si>
    <t xml:space="preserve">Contas prontas para expansão/upsell.</t>
  </si>
  <si>
    <t xml:space="preserve">Expansão potencial (anual)</t>
  </si>
  <si>
    <t xml:space="preserve">Receita anual adicional estimada se concretizar upgrades.</t>
  </si>
  <si>
    <t xml:space="preserve">Metodologia, premissas e pontos cegos</t>
  </si>
  <si>
    <t xml:space="preserve">HEALTH SCORE (0-100) — média ponderada de 5 dimensões:</t>
  </si>
  <si>
    <t xml:space="preserve">• Adoção/uso (35%): uso de licenças (ativas/contratadas) + frequência de login</t>
  </si>
  <si>
    <t xml:space="preserve">• Relacionamento (20%): champion, nº de contatos engajados (multithreading), dias sem contato</t>
  </si>
  <si>
    <t xml:space="preserve">• Suporte (20%): tickets abertos, tickets críticos, CSAT</t>
  </si>
  <si>
    <t xml:space="preserve">• Comercial (15%): status de pagamento, tendência de MRR</t>
  </si>
  <si>
    <t xml:space="preserve">• Sentimento (10%): NPS</t>
  </si>
  <si>
    <t xml:space="preserve">Os pesos são ponto de partida de mercado — recalibre contra seu churn real.</t>
  </si>
  <si>
    <t xml:space="preserve">FAROL DE RISCO (a regra mais severa vence):</t>
  </si>
  <si>
    <t xml:space="preserve">• Vermelho: health &lt; 45  OU  churn &gt;= 65  OU  (renovação &lt;= 60 dias E health &lt; 60)</t>
  </si>
  <si>
    <t xml:space="preserve">• Amarelo: health 45-69  OU  churn 45-64</t>
  </si>
  <si>
    <t xml:space="preserve">• Verde: health &gt;= 70  E  churn &lt; 45</t>
  </si>
  <si>
    <t xml:space="preserve">RISCO DE CHURN (proxy 0-100, maior = pior):</t>
  </si>
  <si>
    <t xml:space="preserve">Soma de sinais negativos: baixa adoção, uso baixo, sem champion, single-thread, dias sem contato,</t>
  </si>
  <si>
    <t xml:space="preserve">tickets críticos, MRR em queda, pagamento atrasado e NPS detrator.</t>
  </si>
  <si>
    <t xml:space="preserve">UPGRADE/EXPANSÃO:</t>
  </si>
  <si>
    <t xml:space="preserve">Uso de licenças &gt;= 85%  OU  (health &gt;= 75 + NPS &gt;= 8 + MRR estável/crescente + uso &gt;= 70%).</t>
  </si>
  <si>
    <t xml:space="preserve">PONTOS CEGOS QUE VOCÊ PEDIU PARA EU APONTAR:</t>
  </si>
  <si>
    <t xml:space="preserve">1. NRR &gt; churn. A métrica que define um B2B SaaS é a Net Revenue Retention, não evitar perdas.</t>
  </si>
  <si>
    <t xml:space="preserve">2. Indicador atrasado vs. antecedente. Churn/renovação são lagging; o valor está nos sinais antecedentes (queda de uso, champion que saiu).</t>
  </si>
  <si>
    <t xml:space="preserve">3. Time-to-value/onboarding é o preditor mais forte de retenção — meça tempo até o 1º valor e % de onboarding concluído.</t>
  </si>
  <si>
    <t xml:space="preserve">4. Single-threading: conta dependente de 1 champion é frágil. Acompanhe nº de contatos engajados.</t>
  </si>
  <si>
    <t xml:space="preserve">5. Churn silencioso: contas que não renovam sem reclamar — só pegas por queda de uso (exige dado de produto).</t>
  </si>
  <si>
    <t xml:space="preserve">6. Segmentação/cost-to-serve: separe high-touch de tech-touch; avalie ARR por CSM.</t>
  </si>
  <si>
    <t xml:space="preserve">7. Validação do score: compare contas que churnaram — estavam vermelhas antes? Se não, recalibre.</t>
  </si>
  <si>
    <t xml:space="preserve">LIMITAÇÃO PRINCIPAL: sem dados de uso do produto, o churn é um PROXY de CRM — útil, mas não preditivo validado.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</si>
</sst>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"/>
    <numFmt numFmtId="167" formatCode="0.0%"/>
    <numFmt numFmtId="168" formatCode="&quot;R$ &quot;#,##0"/>
    <numFmt numFmtId="169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84001"/>
      <name val="Calibri"/>
      <family val="0"/>
      <charset val="1"/>
    </font>
    <font>
      <b val="true"/>
      <sz val="15"/>
      <color rgb="FF024632"/>
      <name val="Calibri"/>
      <family val="0"/>
      <charset val="1"/>
    </font>
    <font>
      <sz val="9"/>
      <color rgb="FF6F5F4F"/>
      <name val="Calibri"/>
      <family val="0"/>
      <charset val="1"/>
    </font>
    <font>
      <sz val="11"/>
      <color rgb="FF322F2E"/>
      <name val="Calibri"/>
      <family val="0"/>
      <charset val="1"/>
    </font>
    <font>
      <b val="true"/>
      <sz val="13"/>
      <color rgb="FFF84001"/>
      <name val="Calibri"/>
      <family val="0"/>
      <charset val="1"/>
    </font>
    <font>
      <i val="true"/>
      <sz val="10"/>
      <color rgb="FF6F5F4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322F2E"/>
      <name val="Calibri"/>
      <family val="0"/>
      <charset val="1"/>
    </font>
    <font>
      <b val="true"/>
      <sz val="10"/>
      <color rgb="FF322F2E"/>
      <name val="Calibri"/>
      <family val="0"/>
      <charset val="1"/>
    </font>
    <font>
      <b val="true"/>
      <sz val="18"/>
      <color rgb="FFF84001"/>
      <name val="Calibri"/>
      <family val="0"/>
      <charset val="1"/>
    </font>
    <font>
      <sz val="10"/>
      <color rgb="FF6F5F4F"/>
      <name val="Calibri"/>
      <family val="0"/>
      <charset val="1"/>
    </font>
    <font>
      <b val="true"/>
      <sz val="11"/>
      <color rgb="FF322F2E"/>
      <name val="Calibri"/>
      <family val="0"/>
      <charset val="1"/>
    </font>
    <font>
      <b val="true"/>
      <sz val="12"/>
      <color rgb="FF024632"/>
      <name val="Calibri"/>
      <family val="0"/>
      <charset val="1"/>
    </font>
    <font>
      <b val="true"/>
      <sz val="16"/>
      <color rgb="FFF8400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24632"/>
        <bgColor rgb="FF003366"/>
      </patternFill>
    </fill>
    <fill>
      <patternFill patternType="solid">
        <fgColor rgb="FFF84001"/>
        <bgColor rgb="FFE52F2D"/>
      </patternFill>
    </fill>
    <fill>
      <patternFill patternType="solid">
        <fgColor rgb="FFFBF6EF"/>
        <bgColor rgb="FFFFFFFF"/>
      </patternFill>
    </fill>
    <fill>
      <patternFill patternType="solid">
        <fgColor rgb="FFF8E0C5"/>
        <bgColor rgb="FFD9D2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8"/>
      </left>
      <right style="thin">
        <color rgb="FFD9D2C8"/>
      </right>
      <top style="thin">
        <color rgb="FFD9D2C8"/>
      </top>
      <bottom style="thin">
        <color rgb="FFD9D2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FFFFFF"/>
        <sz val="10"/>
      </font>
      <fill>
        <patternFill>
          <bgColor rgb="FFE52F2D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FE930D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13BC65"/>
        </patternFill>
      </fill>
    </dxf>
  </dxfs>
  <colors>
    <indexedColors>
      <rgbColor rgb="FF000000"/>
      <rgbColor rgb="FFFFFFFF"/>
      <rgbColor rgb="FFE52F2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8"/>
      <rgbColor rgb="FF808080"/>
      <rgbColor rgb="FF9999FF"/>
      <rgbColor rgb="FF993366"/>
      <rgbColor rgb="FFFBF6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E0C5"/>
      <rgbColor rgb="FF3366FF"/>
      <rgbColor rgb="FF33CCCC"/>
      <rgbColor rgb="FF99CC00"/>
      <rgbColor rgb="FFFFCC00"/>
      <rgbColor rgb="FFFE930D"/>
      <rgbColor rgb="FFF84001"/>
      <rgbColor rgb="FF6F5F4F"/>
      <rgbColor rgb="FF969696"/>
      <rgbColor rgb="FF003366"/>
      <rgbColor rgb="FF13BC65"/>
      <rgbColor rgb="FF024632"/>
      <rgbColor rgb="FF333300"/>
      <rgbColor rgb="FF993300"/>
      <rgbColor rgb="FF993366"/>
      <rgbColor rgb="FF333399"/>
      <rgbColor rgb="FF322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26.8" hidden="false" customHeight="false" outlineLevel="0" collapsed="false">
      <c r="B2" s="1" t="s">
        <v>0</v>
      </c>
    </row>
    <row r="3" customFormat="false" ht="18.5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/>
    </row>
    <row r="6" customFormat="false" ht="16.15" hidden="false" customHeight="false" outlineLevel="0" collapsed="false">
      <c r="B6" s="5" t="s">
        <v>3</v>
      </c>
    </row>
    <row r="7" customFormat="false" ht="15" hidden="false" customHeight="false" outlineLevel="0" collapsed="false">
      <c r="B7" s="4" t="s">
        <v>4</v>
      </c>
    </row>
    <row r="8" customFormat="false" ht="23.8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/>
    </row>
    <row r="12" customFormat="false" ht="16.15" hidden="false" customHeight="false" outlineLevel="0" collapsed="false">
      <c r="B12" s="5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/>
    </row>
    <row r="15" customFormat="false" ht="16.15" hidden="false" customHeight="false" outlineLevel="0" collapsed="false">
      <c r="B15" s="5" t="s">
        <v>10</v>
      </c>
    </row>
    <row r="16" customFormat="false" ht="23.85" hidden="false" customHeight="false" outlineLevel="0" collapsed="false">
      <c r="B16" s="4" t="s">
        <v>11</v>
      </c>
    </row>
    <row r="17" customFormat="false" ht="23.8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3" min="12" style="0" width="10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9" min="18" style="0" width="11"/>
    <col collapsed="false" customWidth="true" hidden="false" outlineLevel="0" max="22" min="20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10"/>
    <col collapsed="false" customWidth="true" hidden="false" outlineLevel="0" max="27" min="27" style="0" width="12"/>
    <col collapsed="false" customWidth="true" hidden="false" outlineLevel="0" max="28" min="28" style="0" width="10"/>
    <col collapsed="false" customWidth="true" hidden="false" outlineLevel="0" max="29" min="29" style="0" width="13"/>
  </cols>
  <sheetData>
    <row r="1" customFormat="false" ht="15" hidden="false" customHeight="true" outlineLevel="0" collapsed="false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Format="false" ht="30" hidden="false" customHeight="true" outlineLevel="0" collapsed="false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8" t="s">
        <v>30</v>
      </c>
      <c r="Q2" s="8" t="s">
        <v>31</v>
      </c>
      <c r="R2" s="8" t="s">
        <v>32</v>
      </c>
      <c r="S2" s="9" t="s">
        <v>33</v>
      </c>
      <c r="T2" s="9" t="s">
        <v>34</v>
      </c>
      <c r="U2" s="9" t="s">
        <v>35</v>
      </c>
      <c r="V2" s="9" t="s">
        <v>36</v>
      </c>
      <c r="W2" s="9" t="s">
        <v>37</v>
      </c>
      <c r="X2" s="9" t="s">
        <v>38</v>
      </c>
      <c r="Y2" s="9" t="s">
        <v>39</v>
      </c>
      <c r="Z2" s="9" t="s">
        <v>40</v>
      </c>
      <c r="AA2" s="9" t="s">
        <v>41</v>
      </c>
      <c r="AB2" s="9" t="s">
        <v>42</v>
      </c>
      <c r="AC2" s="9" t="s">
        <v>43</v>
      </c>
    </row>
    <row r="3" customFormat="false" ht="15" hidden="false" customHeight="false" outlineLevel="0" collapsed="false">
      <c r="A3" s="10" t="s">
        <v>44</v>
      </c>
      <c r="B3" s="10" t="s">
        <v>45</v>
      </c>
      <c r="C3" s="10" t="s">
        <v>46</v>
      </c>
      <c r="D3" s="11" t="n">
        <v>32000</v>
      </c>
      <c r="E3" s="11" t="n">
        <v>38000</v>
      </c>
      <c r="F3" s="11" t="n">
        <v>500</v>
      </c>
      <c r="G3" s="11" t="n">
        <v>430</v>
      </c>
      <c r="H3" s="11" t="n">
        <v>82</v>
      </c>
      <c r="I3" s="11" t="n">
        <v>9</v>
      </c>
      <c r="J3" s="10" t="s">
        <v>47</v>
      </c>
      <c r="K3" s="11" t="n">
        <v>6</v>
      </c>
      <c r="L3" s="11" t="n">
        <v>2</v>
      </c>
      <c r="M3" s="11" t="n">
        <v>0</v>
      </c>
      <c r="N3" s="11" t="n">
        <v>88</v>
      </c>
      <c r="O3" s="11" t="n">
        <v>9</v>
      </c>
      <c r="P3" s="10" t="s">
        <v>48</v>
      </c>
      <c r="Q3" s="10" t="s">
        <v>49</v>
      </c>
      <c r="R3" s="11" t="n">
        <v>120</v>
      </c>
      <c r="S3" s="12" t="n">
        <f aca="false">IF($A3="","",IF(F3=0,0,G3/F3))</f>
        <v>0.86</v>
      </c>
      <c r="T3" s="13" t="n">
        <f aca="false">IF($A3="","",MEDIAN(0,0.6*(S3*100)+0.4*H3,100))</f>
        <v>84.4</v>
      </c>
      <c r="U3" s="13" t="n">
        <f aca="false">IF($A3="","",MEDIAN(0,IF(J3="Sim",45,0)+MEDIAN(0,K3*10,30)+MEDIAN(0,25-I3/3,25),100))</f>
        <v>97</v>
      </c>
      <c r="V3" s="13" t="n">
        <f aca="false">IF($A3="","",MEDIAN(0,0.5*N3+0.3*MEDIAN(0,100-L3*12,100)+0.2*MEDIAN(0,100-M3*40,100),100))</f>
        <v>86.8</v>
      </c>
      <c r="W3" s="13" t="n">
        <f aca="false">IF($A3="","",MEDIAN(0,IF(P3="Em dia",60,20)+IF(E3&gt;=D3,40,IF(E3&gt;=D3*0.85,20,0)),100))</f>
        <v>100</v>
      </c>
      <c r="X3" s="13" t="n">
        <f aca="false">IF($A3="","",MEDIAN(0,(O3+100)/2,100))</f>
        <v>54.5</v>
      </c>
      <c r="Y3" s="14" t="n">
        <f aca="false">IF($A3="","",ROUND(0.35*T3+0.2*U3+0.2*V3+0.15*W3+0.1*X3,0))</f>
        <v>87</v>
      </c>
      <c r="Z3" s="14" t="n">
        <f aca="false">IF($A3="","",ROUND(MEDIAN(0,(1-S3)*25+IF(H3&lt;40,15,IF(H3&lt;60,7,0))+IF(J3="Sim",0,18)+IF(K3&lt;=1,10,0)+MEDIAN(0,I3/4,18)+M3*8+IF(E3&lt;D3,12,0)+IF(P3="Atrasado",10,0)+IF(O3&lt;0,8,0),100),0))</f>
        <v>6</v>
      </c>
      <c r="AA3" s="13" t="str">
        <f aca="false">IF(N3="","",IF(OR(E3=0,Y3&lt;45,Z3&gt;=65,AND(R3&lt;=60,Y3&lt;60,E3&gt;0)),"Vermelho",IF(OR(AND(Y3&gt;=45,Y3&lt;70),AND(Z3&gt;=45,Z3&lt;65)),"Amarelo","Verde")))</f>
        <v>Verde</v>
      </c>
      <c r="AB3" s="13" t="str">
        <f aca="false">IF($A3="","",IF(AND(E3&gt;0,OR(S3&gt;=0.85,AND(Y3&gt;=75,O3&gt;=8,E3&gt;=D3,S3&gt;=0.7))),"Sim","Não"))</f>
        <v>Sim</v>
      </c>
      <c r="AC3" s="15" t="n">
        <f aca="false">IF($A3="","",IF(AB3="Sim",ROUND(E3*0.25,0),0))</f>
        <v>9500</v>
      </c>
    </row>
    <row r="4" customFormat="false" ht="15" hidden="false" customHeight="false" outlineLevel="0" collapsed="false">
      <c r="A4" s="16" t="s">
        <v>50</v>
      </c>
      <c r="B4" s="16" t="s">
        <v>51</v>
      </c>
      <c r="C4" s="16" t="s">
        <v>52</v>
      </c>
      <c r="D4" s="17" t="n">
        <v>18000</v>
      </c>
      <c r="E4" s="17" t="n">
        <v>18000</v>
      </c>
      <c r="F4" s="17" t="n">
        <v>300</v>
      </c>
      <c r="G4" s="17" t="n">
        <v>96</v>
      </c>
      <c r="H4" s="17" t="n">
        <v>31</v>
      </c>
      <c r="I4" s="17" t="n">
        <v>54</v>
      </c>
      <c r="J4" s="16" t="s">
        <v>53</v>
      </c>
      <c r="K4" s="17" t="n">
        <v>1</v>
      </c>
      <c r="L4" s="17" t="n">
        <v>5</v>
      </c>
      <c r="M4" s="17" t="n">
        <v>1</v>
      </c>
      <c r="N4" s="17" t="n">
        <v>61</v>
      </c>
      <c r="O4" s="17" t="n">
        <v>2</v>
      </c>
      <c r="P4" s="16" t="s">
        <v>48</v>
      </c>
      <c r="Q4" s="16" t="s">
        <v>54</v>
      </c>
      <c r="R4" s="17" t="n">
        <v>160</v>
      </c>
      <c r="S4" s="18" t="n">
        <f aca="false">IF($A4="","",IF(F4=0,0,G4/F4))</f>
        <v>0.32</v>
      </c>
      <c r="T4" s="19" t="n">
        <f aca="false">IF($A4="","",MEDIAN(0,0.6*(S4*100)+0.4*H4,100))</f>
        <v>31.6</v>
      </c>
      <c r="U4" s="19" t="n">
        <f aca="false">IF($A4="","",MEDIAN(0,IF(J4="Sim",45,0)+MEDIAN(0,K4*10,30)+MEDIAN(0,25-I4/3,25),100))</f>
        <v>17</v>
      </c>
      <c r="V4" s="19" t="n">
        <f aca="false">IF($A4="","",MEDIAN(0,0.5*N4+0.3*MEDIAN(0,100-L4*12,100)+0.2*MEDIAN(0,100-M4*40,100),100))</f>
        <v>54.5</v>
      </c>
      <c r="W4" s="19" t="n">
        <f aca="false">IF($A4="","",MEDIAN(0,IF(P4="Em dia",60,20)+IF(E4&gt;=D4,40,IF(E4&gt;=D4*0.85,20,0)),100))</f>
        <v>100</v>
      </c>
      <c r="X4" s="19" t="n">
        <f aca="false">IF($A4="","",MEDIAN(0,(O4+100)/2,100))</f>
        <v>51</v>
      </c>
      <c r="Y4" s="20" t="n">
        <f aca="false">IF($A4="","",ROUND(0.35*T4+0.2*U4+0.2*V4+0.15*W4+0.1*X4,0))</f>
        <v>45</v>
      </c>
      <c r="Z4" s="20" t="n">
        <f aca="false">IF($A4="","",ROUND(MEDIAN(0,(1-S4)*25+IF(H4&lt;40,15,IF(H4&lt;60,7,0))+IF(J4="Sim",0,18)+IF(K4&lt;=1,10,0)+MEDIAN(0,I4/4,18)+M4*8+IF(E4&lt;D4,12,0)+IF(P4="Atrasado",10,0)+IF(O4&lt;0,8,0),100),0))</f>
        <v>82</v>
      </c>
      <c r="AA4" s="19" t="str">
        <f aca="false">IF(N4="","",IF(OR(E4=0,Y4&lt;45,Z4&gt;=65,AND(R4&lt;=60,Y4&lt;60,E4&gt;0)),"Vermelho",IF(OR(AND(Y4&gt;=45,Y4&lt;70),AND(Z4&gt;=45,Z4&lt;65)),"Amarelo","Verde")))</f>
        <v>Vermelho</v>
      </c>
      <c r="AB4" s="19" t="str">
        <f aca="false">IF($A4="","",IF(AND(E4&gt;0,OR(S4&gt;=0.85,AND(Y4&gt;=75,O4&gt;=8,E4&gt;=D4,S4&gt;=0.7))),"Sim","Não"))</f>
        <v>Não</v>
      </c>
      <c r="AC4" s="21" t="n">
        <f aca="false">IF($A4="","",IF(AB4="Sim",ROUND(E4*0.25,0),0))</f>
        <v>0</v>
      </c>
    </row>
    <row r="5" customFormat="false" ht="15" hidden="false" customHeight="false" outlineLevel="0" collapsed="false">
      <c r="A5" s="10" t="s">
        <v>55</v>
      </c>
      <c r="B5" s="10" t="s">
        <v>45</v>
      </c>
      <c r="C5" s="10" t="s">
        <v>46</v>
      </c>
      <c r="D5" s="11" t="n">
        <v>41000</v>
      </c>
      <c r="E5" s="11" t="n">
        <v>41000</v>
      </c>
      <c r="F5" s="11" t="n">
        <v>800</v>
      </c>
      <c r="G5" s="11" t="n">
        <v>740</v>
      </c>
      <c r="H5" s="11" t="n">
        <v>77</v>
      </c>
      <c r="I5" s="11" t="n">
        <v>14</v>
      </c>
      <c r="J5" s="10" t="s">
        <v>47</v>
      </c>
      <c r="K5" s="11" t="n">
        <v>8</v>
      </c>
      <c r="L5" s="11" t="n">
        <v>3</v>
      </c>
      <c r="M5" s="11" t="n">
        <v>0</v>
      </c>
      <c r="N5" s="11" t="n">
        <v>84</v>
      </c>
      <c r="O5" s="11" t="n">
        <v>8</v>
      </c>
      <c r="P5" s="10" t="s">
        <v>48</v>
      </c>
      <c r="Q5" s="10" t="s">
        <v>56</v>
      </c>
      <c r="R5" s="11" t="n">
        <v>35</v>
      </c>
      <c r="S5" s="12" t="n">
        <f aca="false">IF($A5="","",IF(F5=0,0,G5/F5))</f>
        <v>0.925</v>
      </c>
      <c r="T5" s="13" t="n">
        <f aca="false">IF($A5="","",MEDIAN(0,0.6*(S5*100)+0.4*H5,100))</f>
        <v>86.3</v>
      </c>
      <c r="U5" s="13" t="n">
        <f aca="false">IF($A5="","",MEDIAN(0,IF(J5="Sim",45,0)+MEDIAN(0,K5*10,30)+MEDIAN(0,25-I5/3,25),100))</f>
        <v>95.3333333333333</v>
      </c>
      <c r="V5" s="13" t="n">
        <f aca="false">IF($A5="","",MEDIAN(0,0.5*N5+0.3*MEDIAN(0,100-L5*12,100)+0.2*MEDIAN(0,100-M5*40,100),100))</f>
        <v>81.2</v>
      </c>
      <c r="W5" s="13" t="n">
        <f aca="false">IF($A5="","",MEDIAN(0,IF(P5="Em dia",60,20)+IF(E5&gt;=D5,40,IF(E5&gt;=D5*0.85,20,0)),100))</f>
        <v>100</v>
      </c>
      <c r="X5" s="13" t="n">
        <f aca="false">IF($A5="","",MEDIAN(0,(O5+100)/2,100))</f>
        <v>54</v>
      </c>
      <c r="Y5" s="14" t="n">
        <f aca="false">IF($A5="","",ROUND(0.35*T5+0.2*U5+0.2*V5+0.15*W5+0.1*X5,0))</f>
        <v>86</v>
      </c>
      <c r="Z5" s="14" t="n">
        <f aca="false">IF($A5="","",ROUND(MEDIAN(0,(1-S5)*25+IF(H5&lt;40,15,IF(H5&lt;60,7,0))+IF(J5="Sim",0,18)+IF(K5&lt;=1,10,0)+MEDIAN(0,I5/4,18)+M5*8+IF(E5&lt;D5,12,0)+IF(P5="Atrasado",10,0)+IF(O5&lt;0,8,0),100),0))</f>
        <v>5</v>
      </c>
      <c r="AA5" s="13" t="str">
        <f aca="false">IF(N5="","",IF(OR(E5=0,Y5&lt;45,Z5&gt;=65,AND(R5&lt;=60,Y5&lt;60,E5&gt;0)),"Vermelho",IF(OR(AND(Y5&gt;=45,Y5&lt;70),AND(Z5&gt;=45,Z5&lt;65)),"Amarelo","Verde")))</f>
        <v>Verde</v>
      </c>
      <c r="AB5" s="13" t="str">
        <f aca="false">IF($A5="","",IF(AND(E5&gt;0,OR(S5&gt;=0.85,AND(Y5&gt;=75,O5&gt;=8,E5&gt;=D5,S5&gt;=0.7))),"Sim","Não"))</f>
        <v>Sim</v>
      </c>
      <c r="AC5" s="15" t="n">
        <f aca="false">IF($A5="","",IF(AB5="Sim",ROUND(E5*0.25,0),0))</f>
        <v>10250</v>
      </c>
    </row>
    <row r="6" customFormat="false" ht="15" hidden="false" customHeight="false" outlineLevel="0" collapsed="false">
      <c r="A6" s="16" t="s">
        <v>57</v>
      </c>
      <c r="B6" s="16" t="s">
        <v>58</v>
      </c>
      <c r="C6" s="16" t="s">
        <v>52</v>
      </c>
      <c r="D6" s="17" t="n">
        <v>12000</v>
      </c>
      <c r="E6" s="17" t="n">
        <v>9000</v>
      </c>
      <c r="F6" s="17" t="n">
        <v>200</v>
      </c>
      <c r="G6" s="17" t="n">
        <v>70</v>
      </c>
      <c r="H6" s="17" t="n">
        <v>24</v>
      </c>
      <c r="I6" s="17" t="n">
        <v>71</v>
      </c>
      <c r="J6" s="16" t="s">
        <v>53</v>
      </c>
      <c r="K6" s="17" t="n">
        <v>1</v>
      </c>
      <c r="L6" s="17" t="n">
        <v>7</v>
      </c>
      <c r="M6" s="17" t="n">
        <v>2</v>
      </c>
      <c r="N6" s="17" t="n">
        <v>48</v>
      </c>
      <c r="O6" s="17" t="n">
        <v>-15</v>
      </c>
      <c r="P6" s="16" t="s">
        <v>59</v>
      </c>
      <c r="Q6" s="16" t="s">
        <v>56</v>
      </c>
      <c r="R6" s="17" t="n">
        <v>35</v>
      </c>
      <c r="S6" s="18" t="n">
        <f aca="false">IF($A6="","",IF(F6=0,0,G6/F6))</f>
        <v>0.35</v>
      </c>
      <c r="T6" s="19" t="n">
        <f aca="false">IF($A6="","",MEDIAN(0,0.6*(S6*100)+0.4*H6,100))</f>
        <v>30.6</v>
      </c>
      <c r="U6" s="19" t="n">
        <f aca="false">IF($A6="","",MEDIAN(0,IF(J6="Sim",45,0)+MEDIAN(0,K6*10,30)+MEDIAN(0,25-I6/3,25),100))</f>
        <v>11.3333333333333</v>
      </c>
      <c r="V6" s="19" t="n">
        <f aca="false">IF($A6="","",MEDIAN(0,0.5*N6+0.3*MEDIAN(0,100-L6*12,100)+0.2*MEDIAN(0,100-M6*40,100),100))</f>
        <v>32.8</v>
      </c>
      <c r="W6" s="19" t="n">
        <f aca="false">IF($A6="","",MEDIAN(0,IF(P6="Em dia",60,20)+IF(E6&gt;=D6,40,IF(E6&gt;=D6*0.85,20,0)),100))</f>
        <v>20</v>
      </c>
      <c r="X6" s="19" t="n">
        <f aca="false">IF($A6="","",MEDIAN(0,(O6+100)/2,100))</f>
        <v>42.5</v>
      </c>
      <c r="Y6" s="20" t="n">
        <f aca="false">IF($A6="","",ROUND(0.35*T6+0.2*U6+0.2*V6+0.15*W6+0.1*X6,0))</f>
        <v>27</v>
      </c>
      <c r="Z6" s="20" t="n">
        <f aca="false">IF($A6="","",ROUND(MEDIAN(0,(1-S6)*25+IF(H6&lt;40,15,IF(H6&lt;60,7,0))+IF(J6="Sim",0,18)+IF(K6&lt;=1,10,0)+MEDIAN(0,I6/4,18)+M6*8+IF(E6&lt;D6,12,0)+IF(P6="Atrasado",10,0)+IF(O6&lt;0,8,0),100),0))</f>
        <v>100</v>
      </c>
      <c r="AA6" s="19" t="str">
        <f aca="false">IF(N6="","",IF(OR(E6=0,Y6&lt;45,Z6&gt;=65,AND(R6&lt;=60,Y6&lt;60,E6&gt;0)),"Vermelho",IF(OR(AND(Y6&gt;=45,Y6&lt;70),AND(Z6&gt;=45,Z6&lt;65)),"Amarelo","Verde")))</f>
        <v>Vermelho</v>
      </c>
      <c r="AB6" s="19" t="str">
        <f aca="false">IF($A6="","",IF(AND(E6&gt;0,OR(S6&gt;=0.85,AND(Y6&gt;=75,O6&gt;=8,E6&gt;=D6,S6&gt;=0.7))),"Sim","Não"))</f>
        <v>Não</v>
      </c>
      <c r="AC6" s="21" t="n">
        <f aca="false">IF($A6="","",IF(AB6="Sim",ROUND(E6*0.25,0),0))</f>
        <v>0</v>
      </c>
    </row>
    <row r="7" customFormat="false" ht="15" hidden="false" customHeight="false" outlineLevel="0" collapsed="false">
      <c r="A7" s="10" t="s">
        <v>60</v>
      </c>
      <c r="B7" s="10" t="s">
        <v>51</v>
      </c>
      <c r="C7" s="10" t="s">
        <v>61</v>
      </c>
      <c r="D7" s="11" t="n">
        <v>5000</v>
      </c>
      <c r="E7" s="11" t="n">
        <v>6500</v>
      </c>
      <c r="F7" s="11" t="n">
        <v>80</v>
      </c>
      <c r="G7" s="11" t="n">
        <v>74</v>
      </c>
      <c r="H7" s="11" t="n">
        <v>69</v>
      </c>
      <c r="I7" s="11" t="n">
        <v>18</v>
      </c>
      <c r="J7" s="10" t="s">
        <v>47</v>
      </c>
      <c r="K7" s="11" t="n">
        <v>4</v>
      </c>
      <c r="L7" s="11" t="n">
        <v>1</v>
      </c>
      <c r="M7" s="11" t="n">
        <v>0</v>
      </c>
      <c r="N7" s="11" t="n">
        <v>80</v>
      </c>
      <c r="O7" s="11" t="n">
        <v>7</v>
      </c>
      <c r="P7" s="10" t="s">
        <v>48</v>
      </c>
      <c r="Q7" s="10" t="s">
        <v>62</v>
      </c>
      <c r="R7" s="11" t="n">
        <v>240</v>
      </c>
      <c r="S7" s="12" t="n">
        <f aca="false">IF($A7="","",IF(F7=0,0,G7/F7))</f>
        <v>0.925</v>
      </c>
      <c r="T7" s="13" t="n">
        <f aca="false">IF($A7="","",MEDIAN(0,0.6*(S7*100)+0.4*H7,100))</f>
        <v>83.1</v>
      </c>
      <c r="U7" s="13" t="n">
        <f aca="false">IF($A7="","",MEDIAN(0,IF(J7="Sim",45,0)+MEDIAN(0,K7*10,30)+MEDIAN(0,25-I7/3,25),100))</f>
        <v>94</v>
      </c>
      <c r="V7" s="13" t="n">
        <f aca="false">IF($A7="","",MEDIAN(0,0.5*N7+0.3*MEDIAN(0,100-L7*12,100)+0.2*MEDIAN(0,100-M7*40,100),100))</f>
        <v>86.4</v>
      </c>
      <c r="W7" s="13" t="n">
        <f aca="false">IF($A7="","",MEDIAN(0,IF(P7="Em dia",60,20)+IF(E7&gt;=D7,40,IF(E7&gt;=D7*0.85,20,0)),100))</f>
        <v>100</v>
      </c>
      <c r="X7" s="13" t="n">
        <f aca="false">IF($A7="","",MEDIAN(0,(O7+100)/2,100))</f>
        <v>53.5</v>
      </c>
      <c r="Y7" s="14" t="n">
        <f aca="false">IF($A7="","",ROUND(0.35*T7+0.2*U7+0.2*V7+0.15*W7+0.1*X7,0))</f>
        <v>86</v>
      </c>
      <c r="Z7" s="14" t="n">
        <f aca="false">IF($A7="","",ROUND(MEDIAN(0,(1-S7)*25+IF(H7&lt;40,15,IF(H7&lt;60,7,0))+IF(J7="Sim",0,18)+IF(K7&lt;=1,10,0)+MEDIAN(0,I7/4,18)+M7*8+IF(E7&lt;D7,12,0)+IF(P7="Atrasado",10,0)+IF(O7&lt;0,8,0),100),0))</f>
        <v>6</v>
      </c>
      <c r="AA7" s="13" t="str">
        <f aca="false">IF(N7="","",IF(OR(E7=0,Y7&lt;45,Z7&gt;=65,AND(R7&lt;=60,Y7&lt;60,E7&gt;0)),"Vermelho",IF(OR(AND(Y7&gt;=45,Y7&lt;70),AND(Z7&gt;=45,Z7&lt;65)),"Amarelo","Verde")))</f>
        <v>Verde</v>
      </c>
      <c r="AB7" s="13" t="str">
        <f aca="false">IF($A7="","",IF(AND(E7&gt;0,OR(S7&gt;=0.85,AND(Y7&gt;=75,O7&gt;=8,E7&gt;=D7,S7&gt;=0.7))),"Sim","Não"))</f>
        <v>Sim</v>
      </c>
      <c r="AC7" s="15" t="n">
        <f aca="false">IF($A7="","",IF(AB7="Sim",ROUND(E7*0.25,0),0))</f>
        <v>1625</v>
      </c>
    </row>
    <row r="8" customFormat="false" ht="15" hidden="false" customHeight="false" outlineLevel="0" collapsed="false">
      <c r="A8" s="16" t="s">
        <v>63</v>
      </c>
      <c r="B8" s="16" t="s">
        <v>58</v>
      </c>
      <c r="C8" s="16" t="s">
        <v>52</v>
      </c>
      <c r="D8" s="17" t="n">
        <v>16000</v>
      </c>
      <c r="E8" s="17" t="n">
        <v>16000</v>
      </c>
      <c r="F8" s="17" t="n">
        <v>250</v>
      </c>
      <c r="G8" s="17" t="n">
        <v>235</v>
      </c>
      <c r="H8" s="17" t="n">
        <v>74</v>
      </c>
      <c r="I8" s="17" t="n">
        <v>22</v>
      </c>
      <c r="J8" s="16" t="s">
        <v>47</v>
      </c>
      <c r="K8" s="17" t="n">
        <v>5</v>
      </c>
      <c r="L8" s="17" t="n">
        <v>2</v>
      </c>
      <c r="M8" s="17" t="n">
        <v>0</v>
      </c>
      <c r="N8" s="17" t="n">
        <v>79</v>
      </c>
      <c r="O8" s="17" t="n">
        <v>6</v>
      </c>
      <c r="P8" s="16" t="s">
        <v>48</v>
      </c>
      <c r="Q8" s="16" t="s">
        <v>49</v>
      </c>
      <c r="R8" s="17" t="n">
        <v>120</v>
      </c>
      <c r="S8" s="18" t="n">
        <f aca="false">IF($A8="","",IF(F8=0,0,G8/F8))</f>
        <v>0.94</v>
      </c>
      <c r="T8" s="19" t="n">
        <f aca="false">IF($A8="","",MEDIAN(0,0.6*(S8*100)+0.4*H8,100))</f>
        <v>86</v>
      </c>
      <c r="U8" s="19" t="n">
        <f aca="false">IF($A8="","",MEDIAN(0,IF(J8="Sim",45,0)+MEDIAN(0,K8*10,30)+MEDIAN(0,25-I8/3,25),100))</f>
        <v>92.6666666666667</v>
      </c>
      <c r="V8" s="19" t="n">
        <f aca="false">IF($A8="","",MEDIAN(0,0.5*N8+0.3*MEDIAN(0,100-L8*12,100)+0.2*MEDIAN(0,100-M8*40,100),100))</f>
        <v>82.3</v>
      </c>
      <c r="W8" s="19" t="n">
        <f aca="false">IF($A8="","",MEDIAN(0,IF(P8="Em dia",60,20)+IF(E8&gt;=D8,40,IF(E8&gt;=D8*0.85,20,0)),100))</f>
        <v>100</v>
      </c>
      <c r="X8" s="19" t="n">
        <f aca="false">IF($A8="","",MEDIAN(0,(O8+100)/2,100))</f>
        <v>53</v>
      </c>
      <c r="Y8" s="20" t="n">
        <f aca="false">IF($A8="","",ROUND(0.35*T8+0.2*U8+0.2*V8+0.15*W8+0.1*X8,0))</f>
        <v>85</v>
      </c>
      <c r="Z8" s="20" t="n">
        <f aca="false">IF($A8="","",ROUND(MEDIAN(0,(1-S8)*25+IF(H8&lt;40,15,IF(H8&lt;60,7,0))+IF(J8="Sim",0,18)+IF(K8&lt;=1,10,0)+MEDIAN(0,I8/4,18)+M8*8+IF(E8&lt;D8,12,0)+IF(P8="Atrasado",10,0)+IF(O8&lt;0,8,0),100),0))</f>
        <v>7</v>
      </c>
      <c r="AA8" s="19" t="str">
        <f aca="false">IF(N8="","",IF(OR(E8=0,Y8&lt;45,Z8&gt;=65,AND(R8&lt;=60,Y8&lt;60,E8&gt;0)),"Vermelho",IF(OR(AND(Y8&gt;=45,Y8&lt;70),AND(Z8&gt;=45,Z8&lt;65)),"Amarelo","Verde")))</f>
        <v>Verde</v>
      </c>
      <c r="AB8" s="19" t="str">
        <f aca="false">IF($A8="","",IF(AND(E8&gt;0,OR(S8&gt;=0.85,AND(Y8&gt;=75,O8&gt;=8,E8&gt;=D8,S8&gt;=0.7))),"Sim","Não"))</f>
        <v>Sim</v>
      </c>
      <c r="AC8" s="21" t="n">
        <f aca="false">IF($A8="","",IF(AB8="Sim",ROUND(E8*0.25,0),0))</f>
        <v>4000</v>
      </c>
    </row>
    <row r="9" customFormat="false" ht="15" hidden="false" customHeight="false" outlineLevel="0" collapsed="false">
      <c r="A9" s="10" t="s">
        <v>64</v>
      </c>
      <c r="B9" s="10" t="s">
        <v>45</v>
      </c>
      <c r="C9" s="10" t="s">
        <v>46</v>
      </c>
      <c r="D9" s="11" t="n">
        <v>55000</v>
      </c>
      <c r="E9" s="11" t="n">
        <v>48000</v>
      </c>
      <c r="F9" s="11" t="n">
        <v>1000</v>
      </c>
      <c r="G9" s="11" t="n">
        <v>520</v>
      </c>
      <c r="H9" s="11" t="n">
        <v>41</v>
      </c>
      <c r="I9" s="11" t="n">
        <v>38</v>
      </c>
      <c r="J9" s="10" t="s">
        <v>53</v>
      </c>
      <c r="K9" s="11" t="n">
        <v>2</v>
      </c>
      <c r="L9" s="11" t="n">
        <v>6</v>
      </c>
      <c r="M9" s="11" t="n">
        <v>1</v>
      </c>
      <c r="N9" s="11" t="n">
        <v>58</v>
      </c>
      <c r="O9" s="11" t="n">
        <v>-5</v>
      </c>
      <c r="P9" s="10" t="s">
        <v>48</v>
      </c>
      <c r="Q9" s="10" t="s">
        <v>56</v>
      </c>
      <c r="R9" s="11" t="n">
        <v>35</v>
      </c>
      <c r="S9" s="12" t="n">
        <f aca="false">IF($A9="","",IF(F9=0,0,G9/F9))</f>
        <v>0.52</v>
      </c>
      <c r="T9" s="13" t="n">
        <f aca="false">IF($A9="","",MEDIAN(0,0.6*(S9*100)+0.4*H9,100))</f>
        <v>47.6</v>
      </c>
      <c r="U9" s="13" t="n">
        <f aca="false">IF($A9="","",MEDIAN(0,IF(J9="Sim",45,0)+MEDIAN(0,K9*10,30)+MEDIAN(0,25-I9/3,25),100))</f>
        <v>32.3333333333333</v>
      </c>
      <c r="V9" s="13" t="n">
        <f aca="false">IF($A9="","",MEDIAN(0,0.5*N9+0.3*MEDIAN(0,100-L9*12,100)+0.2*MEDIAN(0,100-M9*40,100),100))</f>
        <v>49.4</v>
      </c>
      <c r="W9" s="13" t="n">
        <f aca="false">IF($A9="","",MEDIAN(0,IF(P9="Em dia",60,20)+IF(E9&gt;=D9,40,IF(E9&gt;=D9*0.85,20,0)),100))</f>
        <v>80</v>
      </c>
      <c r="X9" s="13" t="n">
        <f aca="false">IF($A9="","",MEDIAN(0,(O9+100)/2,100))</f>
        <v>47.5</v>
      </c>
      <c r="Y9" s="14" t="n">
        <f aca="false">IF($A9="","",ROUND(0.35*T9+0.2*U9+0.2*V9+0.15*W9+0.1*X9,0))</f>
        <v>50</v>
      </c>
      <c r="Z9" s="14" t="n">
        <f aca="false">IF($A9="","",ROUND(MEDIAN(0,(1-S9)*25+IF(H9&lt;40,15,IF(H9&lt;60,7,0))+IF(J9="Sim",0,18)+IF(K9&lt;=1,10,0)+MEDIAN(0,I9/4,18)+M9*8+IF(E9&lt;D9,12,0)+IF(P9="Atrasado",10,0)+IF(O9&lt;0,8,0),100),0))</f>
        <v>75</v>
      </c>
      <c r="AA9" s="13" t="str">
        <f aca="false">IF(N9="","",IF(OR(E9=0,Y9&lt;45,Z9&gt;=65,AND(R9&lt;=60,Y9&lt;60,E9&gt;0)),"Vermelho",IF(OR(AND(Y9&gt;=45,Y9&lt;70),AND(Z9&gt;=45,Z9&lt;65)),"Amarelo","Verde")))</f>
        <v>Vermelho</v>
      </c>
      <c r="AB9" s="13" t="str">
        <f aca="false">IF($A9="","",IF(AND(E9&gt;0,OR(S9&gt;=0.85,AND(Y9&gt;=75,O9&gt;=8,E9&gt;=D9,S9&gt;=0.7))),"Sim","Não"))</f>
        <v>Não</v>
      </c>
      <c r="AC9" s="15" t="n">
        <f aca="false">IF($A9="","",IF(AB9="Sim",ROUND(E9*0.25,0),0))</f>
        <v>0</v>
      </c>
    </row>
    <row r="10" customFormat="false" ht="15" hidden="false" customHeight="false" outlineLevel="0" collapsed="false">
      <c r="A10" s="16" t="s">
        <v>65</v>
      </c>
      <c r="B10" s="16" t="s">
        <v>51</v>
      </c>
      <c r="C10" s="16" t="s">
        <v>52</v>
      </c>
      <c r="D10" s="17" t="n">
        <v>14000</v>
      </c>
      <c r="E10" s="17" t="n">
        <v>15500</v>
      </c>
      <c r="F10" s="17" t="n">
        <v>220</v>
      </c>
      <c r="G10" s="17" t="n">
        <v>198</v>
      </c>
      <c r="H10" s="17" t="n">
        <v>73</v>
      </c>
      <c r="I10" s="17" t="n">
        <v>11</v>
      </c>
      <c r="J10" s="16" t="s">
        <v>47</v>
      </c>
      <c r="K10" s="17" t="n">
        <v>5</v>
      </c>
      <c r="L10" s="17" t="n">
        <v>1</v>
      </c>
      <c r="M10" s="17" t="n">
        <v>0</v>
      </c>
      <c r="N10" s="17" t="n">
        <v>86</v>
      </c>
      <c r="O10" s="17" t="n">
        <v>9</v>
      </c>
      <c r="P10" s="16" t="s">
        <v>48</v>
      </c>
      <c r="Q10" s="16" t="s">
        <v>66</v>
      </c>
      <c r="R10" s="17" t="n">
        <v>200</v>
      </c>
      <c r="S10" s="18" t="n">
        <f aca="false">IF($A10="","",IF(F10=0,0,G10/F10))</f>
        <v>0.9</v>
      </c>
      <c r="T10" s="19" t="n">
        <f aca="false">IF($A10="","",MEDIAN(0,0.6*(S10*100)+0.4*H10,100))</f>
        <v>83.2</v>
      </c>
      <c r="U10" s="19" t="n">
        <f aca="false">IF($A10="","",MEDIAN(0,IF(J10="Sim",45,0)+MEDIAN(0,K10*10,30)+MEDIAN(0,25-I10/3,25),100))</f>
        <v>96.3333333333333</v>
      </c>
      <c r="V10" s="19" t="n">
        <f aca="false">IF($A10="","",MEDIAN(0,0.5*N10+0.3*MEDIAN(0,100-L10*12,100)+0.2*MEDIAN(0,100-M10*40,100),100))</f>
        <v>89.4</v>
      </c>
      <c r="W10" s="19" t="n">
        <f aca="false">IF($A10="","",MEDIAN(0,IF(P10="Em dia",60,20)+IF(E10&gt;=D10,40,IF(E10&gt;=D10*0.85,20,0)),100))</f>
        <v>100</v>
      </c>
      <c r="X10" s="19" t="n">
        <f aca="false">IF($A10="","",MEDIAN(0,(O10+100)/2,100))</f>
        <v>54.5</v>
      </c>
      <c r="Y10" s="20" t="n">
        <f aca="false">IF($A10="","",ROUND(0.35*T10+0.2*U10+0.2*V10+0.15*W10+0.1*X10,0))</f>
        <v>87</v>
      </c>
      <c r="Z10" s="20" t="n">
        <f aca="false">IF($A10="","",ROUND(MEDIAN(0,(1-S10)*25+IF(H10&lt;40,15,IF(H10&lt;60,7,0))+IF(J10="Sim",0,18)+IF(K10&lt;=1,10,0)+MEDIAN(0,I10/4,18)+M10*8+IF(E10&lt;D10,12,0)+IF(P10="Atrasado",10,0)+IF(O10&lt;0,8,0),100),0))</f>
        <v>5</v>
      </c>
      <c r="AA10" s="19" t="str">
        <f aca="false">IF(N10="","",IF(OR(E10=0,Y10&lt;45,Z10&gt;=65,AND(R10&lt;=60,Y10&lt;60,E10&gt;0)),"Vermelho",IF(OR(AND(Y10&gt;=45,Y10&lt;70),AND(Z10&gt;=45,Z10&lt;65)),"Amarelo","Verde")))</f>
        <v>Verde</v>
      </c>
      <c r="AB10" s="19" t="str">
        <f aca="false">IF($A10="","",IF(AND(E10&gt;0,OR(S10&gt;=0.85,AND(Y10&gt;=75,O10&gt;=8,E10&gt;=D10,S10&gt;=0.7))),"Sim","Não"))</f>
        <v>Sim</v>
      </c>
      <c r="AC10" s="21" t="n">
        <f aca="false">IF($A10="","",IF(AB10="Sim",ROUND(E10*0.25,0),0))</f>
        <v>3875</v>
      </c>
    </row>
    <row r="11" customFormat="false" ht="15" hidden="false" customHeight="false" outlineLevel="0" collapsed="false">
      <c r="A11" s="10" t="s">
        <v>67</v>
      </c>
      <c r="B11" s="10" t="s">
        <v>58</v>
      </c>
      <c r="C11" s="10" t="s">
        <v>61</v>
      </c>
      <c r="D11" s="11" t="n">
        <v>4000</v>
      </c>
      <c r="E11" s="11" t="n">
        <v>4000</v>
      </c>
      <c r="F11" s="11" t="n">
        <v>60</v>
      </c>
      <c r="G11" s="11" t="n">
        <v>22</v>
      </c>
      <c r="H11" s="11" t="n">
        <v>28</v>
      </c>
      <c r="I11" s="11" t="n">
        <v>63</v>
      </c>
      <c r="J11" s="10" t="s">
        <v>53</v>
      </c>
      <c r="K11" s="11" t="n">
        <v>1</v>
      </c>
      <c r="L11" s="11" t="n">
        <v>3</v>
      </c>
      <c r="M11" s="11" t="n">
        <v>0</v>
      </c>
      <c r="N11" s="11" t="n">
        <v>55</v>
      </c>
      <c r="O11" s="11" t="n">
        <v>0</v>
      </c>
      <c r="P11" s="10" t="s">
        <v>59</v>
      </c>
      <c r="Q11" s="10" t="s">
        <v>68</v>
      </c>
      <c r="R11" s="11" t="n">
        <v>300</v>
      </c>
      <c r="S11" s="12" t="n">
        <f aca="false">IF($A11="","",IF(F11=0,0,G11/F11))</f>
        <v>0.366666666666667</v>
      </c>
      <c r="T11" s="13" t="n">
        <f aca="false">IF($A11="","",MEDIAN(0,0.6*(S11*100)+0.4*H11,100))</f>
        <v>33.2</v>
      </c>
      <c r="U11" s="13" t="n">
        <f aca="false">IF($A11="","",MEDIAN(0,IF(J11="Sim",45,0)+MEDIAN(0,K11*10,30)+MEDIAN(0,25-I11/3,25),100))</f>
        <v>14</v>
      </c>
      <c r="V11" s="13" t="n">
        <f aca="false">IF($A11="","",MEDIAN(0,0.5*N11+0.3*MEDIAN(0,100-L11*12,100)+0.2*MEDIAN(0,100-M11*40,100),100))</f>
        <v>66.7</v>
      </c>
      <c r="W11" s="13" t="n">
        <f aca="false">IF($A11="","",MEDIAN(0,IF(P11="Em dia",60,20)+IF(E11&gt;=D11,40,IF(E11&gt;=D11*0.85,20,0)),100))</f>
        <v>60</v>
      </c>
      <c r="X11" s="13" t="n">
        <f aca="false">IF($A11="","",MEDIAN(0,(O11+100)/2,100))</f>
        <v>50</v>
      </c>
      <c r="Y11" s="14" t="n">
        <f aca="false">IF($A11="","",ROUND(0.35*T11+0.2*U11+0.2*V11+0.15*W11+0.1*X11,0))</f>
        <v>42</v>
      </c>
      <c r="Z11" s="14" t="n">
        <f aca="false">IF($A11="","",ROUND(MEDIAN(0,(1-S11)*25+IF(H11&lt;40,15,IF(H11&lt;60,7,0))+IF(J11="Sim",0,18)+IF(K11&lt;=1,10,0)+MEDIAN(0,I11/4,18)+M11*8+IF(E11&lt;D11,12,0)+IF(P11="Atrasado",10,0)+IF(O11&lt;0,8,0),100),0))</f>
        <v>85</v>
      </c>
      <c r="AA11" s="13" t="str">
        <f aca="false">IF(N11="","",IF(OR(E11=0,Y11&lt;45,Z11&gt;=65,AND(R11&lt;=60,Y11&lt;60,E11&gt;0)),"Vermelho",IF(OR(AND(Y11&gt;=45,Y11&lt;70),AND(Z11&gt;=45,Z11&lt;65)),"Amarelo","Verde")))</f>
        <v>Vermelho</v>
      </c>
      <c r="AB11" s="13" t="str">
        <f aca="false">IF($A11="","",IF(AND(E11&gt;0,OR(S11&gt;=0.85,AND(Y11&gt;=75,O11&gt;=8,E11&gt;=D11,S11&gt;=0.7))),"Sim","Não"))</f>
        <v>Não</v>
      </c>
      <c r="AC11" s="15" t="n">
        <f aca="false">IF($A11="","",IF(AB11="Sim",ROUND(E11*0.25,0),0))</f>
        <v>0</v>
      </c>
    </row>
    <row r="12" customFormat="false" ht="15" hidden="false" customHeight="false" outlineLevel="0" collapsed="false">
      <c r="A12" s="16" t="s">
        <v>69</v>
      </c>
      <c r="B12" s="16" t="s">
        <v>45</v>
      </c>
      <c r="C12" s="16" t="s">
        <v>46</v>
      </c>
      <c r="D12" s="17" t="n">
        <v>38000</v>
      </c>
      <c r="E12" s="17" t="n">
        <v>44000</v>
      </c>
      <c r="F12" s="17" t="n">
        <v>700</v>
      </c>
      <c r="G12" s="17" t="n">
        <v>610</v>
      </c>
      <c r="H12" s="17" t="n">
        <v>80</v>
      </c>
      <c r="I12" s="17" t="n">
        <v>7</v>
      </c>
      <c r="J12" s="16" t="s">
        <v>47</v>
      </c>
      <c r="K12" s="17" t="n">
        <v>7</v>
      </c>
      <c r="L12" s="17" t="n">
        <v>2</v>
      </c>
      <c r="M12" s="17" t="n">
        <v>0</v>
      </c>
      <c r="N12" s="17" t="n">
        <v>90</v>
      </c>
      <c r="O12" s="17" t="n">
        <v>10</v>
      </c>
      <c r="P12" s="16" t="s">
        <v>48</v>
      </c>
      <c r="Q12" s="16" t="s">
        <v>49</v>
      </c>
      <c r="R12" s="17" t="n">
        <v>120</v>
      </c>
      <c r="S12" s="18" t="n">
        <f aca="false">IF($A12="","",IF(F12=0,0,G12/F12))</f>
        <v>0.871428571428571</v>
      </c>
      <c r="T12" s="19" t="n">
        <f aca="false">IF($A12="","",MEDIAN(0,0.6*(S12*100)+0.4*H12,100))</f>
        <v>84.2857142857143</v>
      </c>
      <c r="U12" s="19" t="n">
        <f aca="false">IF($A12="","",MEDIAN(0,IF(J12="Sim",45,0)+MEDIAN(0,K12*10,30)+MEDIAN(0,25-I12/3,25),100))</f>
        <v>97.6666666666667</v>
      </c>
      <c r="V12" s="19" t="n">
        <f aca="false">IF($A12="","",MEDIAN(0,0.5*N12+0.3*MEDIAN(0,100-L12*12,100)+0.2*MEDIAN(0,100-M12*40,100),100))</f>
        <v>87.8</v>
      </c>
      <c r="W12" s="19" t="n">
        <f aca="false">IF($A12="","",MEDIAN(0,IF(P12="Em dia",60,20)+IF(E12&gt;=D12,40,IF(E12&gt;=D12*0.85,20,0)),100))</f>
        <v>100</v>
      </c>
      <c r="X12" s="19" t="n">
        <f aca="false">IF($A12="","",MEDIAN(0,(O12+100)/2,100))</f>
        <v>55</v>
      </c>
      <c r="Y12" s="20" t="n">
        <f aca="false">IF($A12="","",ROUND(0.35*T12+0.2*U12+0.2*V12+0.15*W12+0.1*X12,0))</f>
        <v>87</v>
      </c>
      <c r="Z12" s="20" t="n">
        <f aca="false">IF($A12="","",ROUND(MEDIAN(0,(1-S12)*25+IF(H12&lt;40,15,IF(H12&lt;60,7,0))+IF(J12="Sim",0,18)+IF(K12&lt;=1,10,0)+MEDIAN(0,I12/4,18)+M12*8+IF(E12&lt;D12,12,0)+IF(P12="Atrasado",10,0)+IF(O12&lt;0,8,0),100),0))</f>
        <v>5</v>
      </c>
      <c r="AA12" s="19" t="str">
        <f aca="false">IF(N12="","",IF(OR(E12=0,Y12&lt;45,Z12&gt;=65,AND(R12&lt;=60,Y12&lt;60,E12&gt;0)),"Vermelho",IF(OR(AND(Y12&gt;=45,Y12&lt;70),AND(Z12&gt;=45,Z12&lt;65)),"Amarelo","Verde")))</f>
        <v>Verde</v>
      </c>
      <c r="AB12" s="19" t="str">
        <f aca="false">IF($A12="","",IF(AND(E12&gt;0,OR(S12&gt;=0.85,AND(Y12&gt;=75,O12&gt;=8,E12&gt;=D12,S12&gt;=0.7))),"Sim","Não"))</f>
        <v>Sim</v>
      </c>
      <c r="AC12" s="21" t="n">
        <f aca="false">IF($A12="","",IF(AB12="Sim",ROUND(E12*0.25,0),0))</f>
        <v>11000</v>
      </c>
    </row>
    <row r="13" customFormat="false" ht="15" hidden="false" customHeight="false" outlineLevel="0" collapsed="false">
      <c r="A13" s="10" t="s">
        <v>70</v>
      </c>
      <c r="B13" s="10" t="s">
        <v>51</v>
      </c>
      <c r="C13" s="10" t="s">
        <v>52</v>
      </c>
      <c r="D13" s="11" t="n">
        <v>13000</v>
      </c>
      <c r="E13" s="11" t="n">
        <v>13000</v>
      </c>
      <c r="F13" s="11" t="n">
        <v>180</v>
      </c>
      <c r="G13" s="11" t="n">
        <v>120</v>
      </c>
      <c r="H13" s="11" t="n">
        <v>52</v>
      </c>
      <c r="I13" s="11" t="n">
        <v>29</v>
      </c>
      <c r="J13" s="10" t="s">
        <v>47</v>
      </c>
      <c r="K13" s="11" t="n">
        <v>3</v>
      </c>
      <c r="L13" s="11" t="n">
        <v>4</v>
      </c>
      <c r="M13" s="11" t="n">
        <v>0</v>
      </c>
      <c r="N13" s="11" t="n">
        <v>70</v>
      </c>
      <c r="O13" s="11" t="n">
        <v>4</v>
      </c>
      <c r="P13" s="10" t="s">
        <v>48</v>
      </c>
      <c r="Q13" s="10" t="s">
        <v>54</v>
      </c>
      <c r="R13" s="11" t="n">
        <v>160</v>
      </c>
      <c r="S13" s="12" t="n">
        <f aca="false">IF($A13="","",IF(F13=0,0,G13/F13))</f>
        <v>0.666666666666667</v>
      </c>
      <c r="T13" s="13" t="n">
        <f aca="false">IF($A13="","",MEDIAN(0,0.6*(S13*100)+0.4*H13,100))</f>
        <v>60.8</v>
      </c>
      <c r="U13" s="13" t="n">
        <f aca="false">IF($A13="","",MEDIAN(0,IF(J13="Sim",45,0)+MEDIAN(0,K13*10,30)+MEDIAN(0,25-I13/3,25),100))</f>
        <v>90.3333333333333</v>
      </c>
      <c r="V13" s="13" t="n">
        <f aca="false">IF($A13="","",MEDIAN(0,0.5*N13+0.3*MEDIAN(0,100-L13*12,100)+0.2*MEDIAN(0,100-M13*40,100),100))</f>
        <v>70.6</v>
      </c>
      <c r="W13" s="13" t="n">
        <f aca="false">IF($A13="","",MEDIAN(0,IF(P13="Em dia",60,20)+IF(E13&gt;=D13,40,IF(E13&gt;=D13*0.85,20,0)),100))</f>
        <v>100</v>
      </c>
      <c r="X13" s="13" t="n">
        <f aca="false">IF($A13="","",MEDIAN(0,(O13+100)/2,100))</f>
        <v>52</v>
      </c>
      <c r="Y13" s="14" t="n">
        <f aca="false">IF($A13="","",ROUND(0.35*T13+0.2*U13+0.2*V13+0.15*W13+0.1*X13,0))</f>
        <v>74</v>
      </c>
      <c r="Z13" s="14" t="n">
        <f aca="false">IF($A13="","",ROUND(MEDIAN(0,(1-S13)*25+IF(H13&lt;40,15,IF(H13&lt;60,7,0))+IF(J13="Sim",0,18)+IF(K13&lt;=1,10,0)+MEDIAN(0,I13/4,18)+M13*8+IF(E13&lt;D13,12,0)+IF(P13="Atrasado",10,0)+IF(O13&lt;0,8,0),100),0))</f>
        <v>23</v>
      </c>
      <c r="AA13" s="13" t="str">
        <f aca="false">IF(N13="","",IF(OR(E13=0,Y13&lt;45,Z13&gt;=65,AND(R13&lt;=60,Y13&lt;60,E13&gt;0)),"Vermelho",IF(OR(AND(Y13&gt;=45,Y13&lt;70),AND(Z13&gt;=45,Z13&lt;65)),"Amarelo","Verde")))</f>
        <v>Verde</v>
      </c>
      <c r="AB13" s="13" t="str">
        <f aca="false">IF($A13="","",IF(AND(E13&gt;0,OR(S13&gt;=0.85,AND(Y13&gt;=75,O13&gt;=8,E13&gt;=D13,S13&gt;=0.7))),"Sim","Não"))</f>
        <v>Não</v>
      </c>
      <c r="AC13" s="15" t="n">
        <f aca="false">IF($A13="","",IF(AB13="Sim",ROUND(E13*0.25,0),0))</f>
        <v>0</v>
      </c>
    </row>
    <row r="14" customFormat="false" ht="15" hidden="false" customHeight="false" outlineLevel="0" collapsed="false">
      <c r="A14" s="16" t="s">
        <v>71</v>
      </c>
      <c r="B14" s="16" t="s">
        <v>58</v>
      </c>
      <c r="C14" s="16" t="s">
        <v>61</v>
      </c>
      <c r="D14" s="17" t="n">
        <v>6000</v>
      </c>
      <c r="E14" s="17" t="n">
        <v>7000</v>
      </c>
      <c r="F14" s="17" t="n">
        <v>90</v>
      </c>
      <c r="G14" s="17" t="n">
        <v>81</v>
      </c>
      <c r="H14" s="17" t="n">
        <v>66</v>
      </c>
      <c r="I14" s="17" t="n">
        <v>16</v>
      </c>
      <c r="J14" s="16" t="s">
        <v>47</v>
      </c>
      <c r="K14" s="17" t="n">
        <v>4</v>
      </c>
      <c r="L14" s="17" t="n">
        <v>0</v>
      </c>
      <c r="M14" s="17" t="n">
        <v>0</v>
      </c>
      <c r="N14" s="17" t="n">
        <v>82</v>
      </c>
      <c r="O14" s="17" t="n">
        <v>8</v>
      </c>
      <c r="P14" s="16" t="s">
        <v>48</v>
      </c>
      <c r="Q14" s="16" t="s">
        <v>62</v>
      </c>
      <c r="R14" s="17" t="n">
        <v>240</v>
      </c>
      <c r="S14" s="18" t="n">
        <f aca="false">IF($A14="","",IF(F14=0,0,G14/F14))</f>
        <v>0.9</v>
      </c>
      <c r="T14" s="19" t="n">
        <f aca="false">IF($A14="","",MEDIAN(0,0.6*(S14*100)+0.4*H14,100))</f>
        <v>80.4</v>
      </c>
      <c r="U14" s="19" t="n">
        <f aca="false">IF($A14="","",MEDIAN(0,IF(J14="Sim",45,0)+MEDIAN(0,K14*10,30)+MEDIAN(0,25-I14/3,25),100))</f>
        <v>94.6666666666667</v>
      </c>
      <c r="V14" s="19" t="n">
        <f aca="false">IF($A14="","",MEDIAN(0,0.5*N14+0.3*MEDIAN(0,100-L14*12,100)+0.2*MEDIAN(0,100-M14*40,100),100))</f>
        <v>91</v>
      </c>
      <c r="W14" s="19" t="n">
        <f aca="false">IF($A14="","",MEDIAN(0,IF(P14="Em dia",60,20)+IF(E14&gt;=D14,40,IF(E14&gt;=D14*0.85,20,0)),100))</f>
        <v>100</v>
      </c>
      <c r="X14" s="19" t="n">
        <f aca="false">IF($A14="","",MEDIAN(0,(O14+100)/2,100))</f>
        <v>54</v>
      </c>
      <c r="Y14" s="20" t="n">
        <f aca="false">IF($A14="","",ROUND(0.35*T14+0.2*U14+0.2*V14+0.15*W14+0.1*X14,0))</f>
        <v>86</v>
      </c>
      <c r="Z14" s="20" t="n">
        <f aca="false">IF($A14="","",ROUND(MEDIAN(0,(1-S14)*25+IF(H14&lt;40,15,IF(H14&lt;60,7,0))+IF(J14="Sim",0,18)+IF(K14&lt;=1,10,0)+MEDIAN(0,I14/4,18)+M14*8+IF(E14&lt;D14,12,0)+IF(P14="Atrasado",10,0)+IF(O14&lt;0,8,0),100),0))</f>
        <v>7</v>
      </c>
      <c r="AA14" s="19" t="str">
        <f aca="false">IF(N14="","",IF(OR(E14=0,Y14&lt;45,Z14&gt;=65,AND(R14&lt;=60,Y14&lt;60,E14&gt;0)),"Vermelho",IF(OR(AND(Y14&gt;=45,Y14&lt;70),AND(Z14&gt;=45,Z14&lt;65)),"Amarelo","Verde")))</f>
        <v>Verde</v>
      </c>
      <c r="AB14" s="19" t="str">
        <f aca="false">IF($A14="","",IF(AND(E14&gt;0,OR(S14&gt;=0.85,AND(Y14&gt;=75,O14&gt;=8,E14&gt;=D14,S14&gt;=0.7))),"Sim","Não"))</f>
        <v>Sim</v>
      </c>
      <c r="AC14" s="21" t="n">
        <f aca="false">IF($A14="","",IF(AB14="Sim",ROUND(E14*0.25,0),0))</f>
        <v>1750</v>
      </c>
    </row>
    <row r="15" customFormat="false" ht="15" hidden="false" customHeight="false" outlineLevel="0" collapsed="false">
      <c r="A15" s="10"/>
      <c r="B15" s="10"/>
      <c r="C15" s="10"/>
      <c r="D15" s="11"/>
      <c r="E15" s="11"/>
      <c r="F15" s="11"/>
      <c r="G15" s="11"/>
      <c r="H15" s="11"/>
      <c r="I15" s="11"/>
      <c r="J15" s="10"/>
      <c r="K15" s="11"/>
      <c r="L15" s="11"/>
      <c r="M15" s="11"/>
      <c r="N15" s="11"/>
      <c r="O15" s="11"/>
      <c r="P15" s="10"/>
      <c r="Q15" s="10"/>
      <c r="R15" s="11"/>
      <c r="S15" s="12" t="str">
        <f aca="false">IF($A15="","",IF(F15=0,0,G15/F15))</f>
        <v/>
      </c>
      <c r="T15" s="13" t="str">
        <f aca="false">IF($A15="","",MEDIAN(0,0.6*(S15*100)+0.4*H15,100))</f>
        <v/>
      </c>
      <c r="U15" s="13" t="str">
        <f aca="false">IF($A15="","",MEDIAN(0,IF(J15="Sim",45,0)+MEDIAN(0,K15*10,30)+MEDIAN(0,25-I15/3,25),100))</f>
        <v/>
      </c>
      <c r="V15" s="13" t="str">
        <f aca="false">IF($A15="","",MEDIAN(0,0.5*N15+0.3*MEDIAN(0,100-L15*12,100)+0.2*MEDIAN(0,100-M15*40,100),100))</f>
        <v/>
      </c>
      <c r="W15" s="13" t="str">
        <f aca="false">IF($A15="","",MEDIAN(0,IF(P15="Em dia",60,20)+IF(E15&gt;=D15,40,IF(E15&gt;=D15*0.85,20,0)),100))</f>
        <v/>
      </c>
      <c r="X15" s="13" t="str">
        <f aca="false">IF($A15="","",MEDIAN(0,(O15+100)/2,100))</f>
        <v/>
      </c>
      <c r="Y15" s="14" t="str">
        <f aca="false">IF($A15="","",ROUND(0.35*T15+0.2*U15+0.2*V15+0.15*W15+0.1*X15,0))</f>
        <v/>
      </c>
      <c r="Z15" s="14" t="str">
        <f aca="false">IF($A15="","",ROUND(MEDIAN(0,(1-S15)*25+IF(H15&lt;40,15,IF(H15&lt;60,7,0))+IF(J15="Sim",0,18)+IF(K15&lt;=1,10,0)+MEDIAN(0,I15/4,18)+M15*8+IF(E15&lt;D15,12,0)+IF(P15="Atrasado",10,0)+IF(O15&lt;0,8,0),100),0))</f>
        <v/>
      </c>
      <c r="AA15" s="13" t="str">
        <f aca="false">IF(N15="","",IF(OR(E15=0,Y15&lt;45,Z15&gt;=65,AND(R15&lt;=60,Y15&lt;60,E15&gt;0)),"Vermelho",IF(OR(AND(Y15&gt;=45,Y15&lt;70),AND(Z15&gt;=45,Z15&lt;65)),"Amarelo","Verde")))</f>
        <v/>
      </c>
      <c r="AB15" s="13" t="str">
        <f aca="false">IF($A15="","",IF(AND(E15&gt;0,OR(S15&gt;=0.85,AND(Y15&gt;=75,O15&gt;=8,E15&gt;=D15,S15&gt;=0.7))),"Sim","Não"))</f>
        <v/>
      </c>
      <c r="AC15" s="15" t="str">
        <f aca="false">IF($A15="","",IF(AB15="Sim",ROUND(E15*0.25,0),0))</f>
        <v/>
      </c>
    </row>
    <row r="16" customFormat="false" ht="15" hidden="false" customHeight="false" outlineLevel="0" collapsed="false">
      <c r="A16" s="16"/>
      <c r="B16" s="16"/>
      <c r="C16" s="16"/>
      <c r="D16" s="17"/>
      <c r="E16" s="17"/>
      <c r="F16" s="17"/>
      <c r="G16" s="17"/>
      <c r="H16" s="17"/>
      <c r="I16" s="17"/>
      <c r="J16" s="16"/>
      <c r="K16" s="17"/>
      <c r="L16" s="17"/>
      <c r="M16" s="17"/>
      <c r="N16" s="17"/>
      <c r="O16" s="17"/>
      <c r="P16" s="16"/>
      <c r="Q16" s="16"/>
      <c r="R16" s="17"/>
      <c r="S16" s="18" t="str">
        <f aca="false">IF($A16="","",IF(F16=0,0,G16/F16))</f>
        <v/>
      </c>
      <c r="T16" s="19" t="str">
        <f aca="false">IF($A16="","",MEDIAN(0,0.6*(S16*100)+0.4*H16,100))</f>
        <v/>
      </c>
      <c r="U16" s="19" t="str">
        <f aca="false">IF($A16="","",MEDIAN(0,IF(J16="Sim",45,0)+MEDIAN(0,K16*10,30)+MEDIAN(0,25-I16/3,25),100))</f>
        <v/>
      </c>
      <c r="V16" s="19" t="str">
        <f aca="false">IF($A16="","",MEDIAN(0,0.5*N16+0.3*MEDIAN(0,100-L16*12,100)+0.2*MEDIAN(0,100-M16*40,100),100))</f>
        <v/>
      </c>
      <c r="W16" s="19" t="str">
        <f aca="false">IF($A16="","",MEDIAN(0,IF(P16="Em dia",60,20)+IF(E16&gt;=D16,40,IF(E16&gt;=D16*0.85,20,0)),100))</f>
        <v/>
      </c>
      <c r="X16" s="19" t="str">
        <f aca="false">IF($A16="","",MEDIAN(0,(O16+100)/2,100))</f>
        <v/>
      </c>
      <c r="Y16" s="20" t="str">
        <f aca="false">IF($A16="","",ROUND(0.35*T16+0.2*U16+0.2*V16+0.15*W16+0.1*X16,0))</f>
        <v/>
      </c>
      <c r="Z16" s="20" t="str">
        <f aca="false">IF($A16="","",ROUND(MEDIAN(0,(1-S16)*25+IF(H16&lt;40,15,IF(H16&lt;60,7,0))+IF(J16="Sim",0,18)+IF(K16&lt;=1,10,0)+MEDIAN(0,I16/4,18)+M16*8+IF(E16&lt;D16,12,0)+IF(P16="Atrasado",10,0)+IF(O16&lt;0,8,0),100),0))</f>
        <v/>
      </c>
      <c r="AA16" s="19" t="str">
        <f aca="false">IF(N16="","",IF(OR(E16=0,Y16&lt;45,Z16&gt;=65,AND(R16&lt;=60,Y16&lt;60,E16&gt;0)),"Vermelho",IF(OR(AND(Y16&gt;=45,Y16&lt;70),AND(Z16&gt;=45,Z16&lt;65)),"Amarelo","Verde")))</f>
        <v/>
      </c>
      <c r="AB16" s="19" t="str">
        <f aca="false">IF($A16="","",IF(AND(E16&gt;0,OR(S16&gt;=0.85,AND(Y16&gt;=75,O16&gt;=8,E16&gt;=D16,S16&gt;=0.7))),"Sim","Não"))</f>
        <v/>
      </c>
      <c r="AC16" s="21" t="str">
        <f aca="false">IF($A16="","",IF(AB16="Sim",ROUND(E16*0.25,0),0))</f>
        <v/>
      </c>
    </row>
    <row r="17" customFormat="false" ht="15" hidden="false" customHeight="false" outlineLevel="0" collapsed="false">
      <c r="A17" s="10"/>
      <c r="B17" s="10"/>
      <c r="C17" s="10"/>
      <c r="D17" s="11"/>
      <c r="E17" s="11"/>
      <c r="F17" s="11"/>
      <c r="G17" s="11"/>
      <c r="H17" s="11"/>
      <c r="I17" s="11"/>
      <c r="J17" s="10"/>
      <c r="K17" s="11"/>
      <c r="L17" s="11"/>
      <c r="M17" s="11"/>
      <c r="N17" s="11"/>
      <c r="O17" s="11"/>
      <c r="P17" s="10"/>
      <c r="Q17" s="10"/>
      <c r="R17" s="11"/>
      <c r="S17" s="12" t="str">
        <f aca="false">IF($A17="","",IF(F17=0,0,G17/F17))</f>
        <v/>
      </c>
      <c r="T17" s="13" t="str">
        <f aca="false">IF($A17="","",MEDIAN(0,0.6*(S17*100)+0.4*H17,100))</f>
        <v/>
      </c>
      <c r="U17" s="13" t="str">
        <f aca="false">IF($A17="","",MEDIAN(0,IF(J17="Sim",45,0)+MEDIAN(0,K17*10,30)+MEDIAN(0,25-I17/3,25),100))</f>
        <v/>
      </c>
      <c r="V17" s="13" t="str">
        <f aca="false">IF($A17="","",MEDIAN(0,0.5*N17+0.3*MEDIAN(0,100-L17*12,100)+0.2*MEDIAN(0,100-M17*40,100),100))</f>
        <v/>
      </c>
      <c r="W17" s="13" t="str">
        <f aca="false">IF($A17="","",MEDIAN(0,IF(P17="Em dia",60,20)+IF(E17&gt;=D17,40,IF(E17&gt;=D17*0.85,20,0)),100))</f>
        <v/>
      </c>
      <c r="X17" s="13" t="str">
        <f aca="false">IF($A17="","",MEDIAN(0,(O17+100)/2,100))</f>
        <v/>
      </c>
      <c r="Y17" s="14" t="str">
        <f aca="false">IF($A17="","",ROUND(0.35*T17+0.2*U17+0.2*V17+0.15*W17+0.1*X17,0))</f>
        <v/>
      </c>
      <c r="Z17" s="14" t="str">
        <f aca="false">IF($A17="","",ROUND(MEDIAN(0,(1-S17)*25+IF(H17&lt;40,15,IF(H17&lt;60,7,0))+IF(J17="Sim",0,18)+IF(K17&lt;=1,10,0)+MEDIAN(0,I17/4,18)+M17*8+IF(E17&lt;D17,12,0)+IF(P17="Atrasado",10,0)+IF(O17&lt;0,8,0),100),0))</f>
        <v/>
      </c>
      <c r="AA17" s="13" t="str">
        <f aca="false">IF(N17="","",IF(OR(E17=0,Y17&lt;45,Z17&gt;=65,AND(R17&lt;=60,Y17&lt;60,E17&gt;0)),"Vermelho",IF(OR(AND(Y17&gt;=45,Y17&lt;70),AND(Z17&gt;=45,Z17&lt;65)),"Amarelo","Verde")))</f>
        <v/>
      </c>
      <c r="AB17" s="13" t="str">
        <f aca="false">IF($A17="","",IF(AND(E17&gt;0,OR(S17&gt;=0.85,AND(Y17&gt;=75,O17&gt;=8,E17&gt;=D17,S17&gt;=0.7))),"Sim","Não"))</f>
        <v/>
      </c>
      <c r="AC17" s="15" t="str">
        <f aca="false">IF($A17="","",IF(AB17="Sim",ROUND(E17*0.25,0),0))</f>
        <v/>
      </c>
    </row>
    <row r="18" customFormat="false" ht="15" hidden="false" customHeight="false" outlineLevel="0" collapsed="false">
      <c r="A18" s="16"/>
      <c r="B18" s="16"/>
      <c r="C18" s="16"/>
      <c r="D18" s="17"/>
      <c r="E18" s="17"/>
      <c r="F18" s="17"/>
      <c r="G18" s="17"/>
      <c r="H18" s="17"/>
      <c r="I18" s="17"/>
      <c r="J18" s="16"/>
      <c r="K18" s="17"/>
      <c r="L18" s="17"/>
      <c r="M18" s="17"/>
      <c r="N18" s="17"/>
      <c r="O18" s="17"/>
      <c r="P18" s="16"/>
      <c r="Q18" s="16"/>
      <c r="R18" s="17"/>
      <c r="S18" s="18" t="str">
        <f aca="false">IF($A18="","",IF(F18=0,0,G18/F18))</f>
        <v/>
      </c>
      <c r="T18" s="19" t="str">
        <f aca="false">IF($A18="","",MEDIAN(0,0.6*(S18*100)+0.4*H18,100))</f>
        <v/>
      </c>
      <c r="U18" s="19" t="str">
        <f aca="false">IF($A18="","",MEDIAN(0,IF(J18="Sim",45,0)+MEDIAN(0,K18*10,30)+MEDIAN(0,25-I18/3,25),100))</f>
        <v/>
      </c>
      <c r="V18" s="19" t="str">
        <f aca="false">IF($A18="","",MEDIAN(0,0.5*N18+0.3*MEDIAN(0,100-L18*12,100)+0.2*MEDIAN(0,100-M18*40,100),100))</f>
        <v/>
      </c>
      <c r="W18" s="19" t="str">
        <f aca="false">IF($A18="","",MEDIAN(0,IF(P18="Em dia",60,20)+IF(E18&gt;=D18,40,IF(E18&gt;=D18*0.85,20,0)),100))</f>
        <v/>
      </c>
      <c r="X18" s="19" t="str">
        <f aca="false">IF($A18="","",MEDIAN(0,(O18+100)/2,100))</f>
        <v/>
      </c>
      <c r="Y18" s="20" t="str">
        <f aca="false">IF($A18="","",ROUND(0.35*T18+0.2*U18+0.2*V18+0.15*W18+0.1*X18,0))</f>
        <v/>
      </c>
      <c r="Z18" s="20" t="str">
        <f aca="false">IF($A18="","",ROUND(MEDIAN(0,(1-S18)*25+IF(H18&lt;40,15,IF(H18&lt;60,7,0))+IF(J18="Sim",0,18)+IF(K18&lt;=1,10,0)+MEDIAN(0,I18/4,18)+M18*8+IF(E18&lt;D18,12,0)+IF(P18="Atrasado",10,0)+IF(O18&lt;0,8,0),100),0))</f>
        <v/>
      </c>
      <c r="AA18" s="19" t="str">
        <f aca="false">IF(N18="","",IF(OR(E18=0,Y18&lt;45,Z18&gt;=65,AND(R18&lt;=60,Y18&lt;60,E18&gt;0)),"Vermelho",IF(OR(AND(Y18&gt;=45,Y18&lt;70),AND(Z18&gt;=45,Z18&lt;65)),"Amarelo","Verde")))</f>
        <v/>
      </c>
      <c r="AB18" s="19" t="str">
        <f aca="false">IF($A18="","",IF(AND(E18&gt;0,OR(S18&gt;=0.85,AND(Y18&gt;=75,O18&gt;=8,E18&gt;=D18,S18&gt;=0.7))),"Sim","Não"))</f>
        <v/>
      </c>
      <c r="AC18" s="21" t="str">
        <f aca="false">IF($A18="","",IF(AB18="Sim",ROUND(E18*0.25,0),0))</f>
        <v/>
      </c>
    </row>
    <row r="19" customFormat="false" ht="15" hidden="false" customHeight="false" outlineLevel="0" collapsed="false">
      <c r="A19" s="10"/>
      <c r="B19" s="10"/>
      <c r="C19" s="10"/>
      <c r="D19" s="11"/>
      <c r="E19" s="11"/>
      <c r="F19" s="11"/>
      <c r="G19" s="11"/>
      <c r="H19" s="11"/>
      <c r="I19" s="11"/>
      <c r="J19" s="10"/>
      <c r="K19" s="11"/>
      <c r="L19" s="11"/>
      <c r="M19" s="11"/>
      <c r="N19" s="11"/>
      <c r="O19" s="11"/>
      <c r="P19" s="10"/>
      <c r="Q19" s="10"/>
      <c r="R19" s="11"/>
      <c r="S19" s="12" t="str">
        <f aca="false">IF($A19="","",IF(F19=0,0,G19/F19))</f>
        <v/>
      </c>
      <c r="T19" s="13" t="str">
        <f aca="false">IF($A19="","",MEDIAN(0,0.6*(S19*100)+0.4*H19,100))</f>
        <v/>
      </c>
      <c r="U19" s="13" t="str">
        <f aca="false">IF($A19="","",MEDIAN(0,IF(J19="Sim",45,0)+MEDIAN(0,K19*10,30)+MEDIAN(0,25-I19/3,25),100))</f>
        <v/>
      </c>
      <c r="V19" s="13" t="str">
        <f aca="false">IF($A19="","",MEDIAN(0,0.5*N19+0.3*MEDIAN(0,100-L19*12,100)+0.2*MEDIAN(0,100-M19*40,100),100))</f>
        <v/>
      </c>
      <c r="W19" s="13" t="str">
        <f aca="false">IF($A19="","",MEDIAN(0,IF(P19="Em dia",60,20)+IF(E19&gt;=D19,40,IF(E19&gt;=D19*0.85,20,0)),100))</f>
        <v/>
      </c>
      <c r="X19" s="13" t="str">
        <f aca="false">IF($A19="","",MEDIAN(0,(O19+100)/2,100))</f>
        <v/>
      </c>
      <c r="Y19" s="14" t="str">
        <f aca="false">IF($A19="","",ROUND(0.35*T19+0.2*U19+0.2*V19+0.15*W19+0.1*X19,0))</f>
        <v/>
      </c>
      <c r="Z19" s="14" t="str">
        <f aca="false">IF($A19="","",ROUND(MEDIAN(0,(1-S19)*25+IF(H19&lt;40,15,IF(H19&lt;60,7,0))+IF(J19="Sim",0,18)+IF(K19&lt;=1,10,0)+MEDIAN(0,I19/4,18)+M19*8+IF(E19&lt;D19,12,0)+IF(P19="Atrasado",10,0)+IF(O19&lt;0,8,0),100),0))</f>
        <v/>
      </c>
      <c r="AA19" s="13" t="str">
        <f aca="false">IF(N19="","",IF(OR(E19=0,Y19&lt;45,Z19&gt;=65,AND(R19&lt;=60,Y19&lt;60,E19&gt;0)),"Vermelho",IF(OR(AND(Y19&gt;=45,Y19&lt;70),AND(Z19&gt;=45,Z19&lt;65)),"Amarelo","Verde")))</f>
        <v/>
      </c>
      <c r="AB19" s="13" t="str">
        <f aca="false">IF($A19="","",IF(AND(E19&gt;0,OR(S19&gt;=0.85,AND(Y19&gt;=75,O19&gt;=8,E19&gt;=D19,S19&gt;=0.7))),"Sim","Não"))</f>
        <v/>
      </c>
      <c r="AC19" s="15" t="str">
        <f aca="false">IF($A19="","",IF(AB19="Sim",ROUND(E19*0.25,0),0))</f>
        <v/>
      </c>
    </row>
    <row r="20" customFormat="false" ht="15" hidden="false" customHeight="false" outlineLevel="0" collapsed="false">
      <c r="A20" s="16"/>
      <c r="B20" s="16"/>
      <c r="C20" s="16"/>
      <c r="D20" s="17"/>
      <c r="E20" s="17"/>
      <c r="F20" s="17"/>
      <c r="G20" s="17"/>
      <c r="H20" s="17"/>
      <c r="I20" s="17"/>
      <c r="J20" s="16"/>
      <c r="K20" s="17"/>
      <c r="L20" s="17"/>
      <c r="M20" s="17"/>
      <c r="N20" s="17"/>
      <c r="O20" s="17"/>
      <c r="P20" s="16"/>
      <c r="Q20" s="16"/>
      <c r="R20" s="17"/>
      <c r="S20" s="18" t="str">
        <f aca="false">IF($A20="","",IF(F20=0,0,G20/F20))</f>
        <v/>
      </c>
      <c r="T20" s="19" t="str">
        <f aca="false">IF($A20="","",MEDIAN(0,0.6*(S20*100)+0.4*H20,100))</f>
        <v/>
      </c>
      <c r="U20" s="19" t="str">
        <f aca="false">IF($A20="","",MEDIAN(0,IF(J20="Sim",45,0)+MEDIAN(0,K20*10,30)+MEDIAN(0,25-I20/3,25),100))</f>
        <v/>
      </c>
      <c r="V20" s="19" t="str">
        <f aca="false">IF($A20="","",MEDIAN(0,0.5*N20+0.3*MEDIAN(0,100-L20*12,100)+0.2*MEDIAN(0,100-M20*40,100),100))</f>
        <v/>
      </c>
      <c r="W20" s="19" t="str">
        <f aca="false">IF($A20="","",MEDIAN(0,IF(P20="Em dia",60,20)+IF(E20&gt;=D20,40,IF(E20&gt;=D20*0.85,20,0)),100))</f>
        <v/>
      </c>
      <c r="X20" s="19" t="str">
        <f aca="false">IF($A20="","",MEDIAN(0,(O20+100)/2,100))</f>
        <v/>
      </c>
      <c r="Y20" s="20" t="str">
        <f aca="false">IF($A20="","",ROUND(0.35*T20+0.2*U20+0.2*V20+0.15*W20+0.1*X20,0))</f>
        <v/>
      </c>
      <c r="Z20" s="20" t="str">
        <f aca="false">IF($A20="","",ROUND(MEDIAN(0,(1-S20)*25+IF(H20&lt;40,15,IF(H20&lt;60,7,0))+IF(J20="Sim",0,18)+IF(K20&lt;=1,10,0)+MEDIAN(0,I20/4,18)+M20*8+IF(E20&lt;D20,12,0)+IF(P20="Atrasado",10,0)+IF(O20&lt;0,8,0),100),0))</f>
        <v/>
      </c>
      <c r="AA20" s="19" t="str">
        <f aca="false">IF(N20="","",IF(OR(E20=0,Y20&lt;45,Z20&gt;=65,AND(R20&lt;=60,Y20&lt;60,E20&gt;0)),"Vermelho",IF(OR(AND(Y20&gt;=45,Y20&lt;70),AND(Z20&gt;=45,Z20&lt;65)),"Amarelo","Verde")))</f>
        <v/>
      </c>
      <c r="AB20" s="19" t="str">
        <f aca="false">IF($A20="","",IF(AND(E20&gt;0,OR(S20&gt;=0.85,AND(Y20&gt;=75,O20&gt;=8,E20&gt;=D20,S20&gt;=0.7))),"Sim","Não"))</f>
        <v/>
      </c>
      <c r="AC20" s="21" t="str">
        <f aca="false">IF($A20="","",IF(AB20="Sim",ROUND(E20*0.25,0),0))</f>
        <v/>
      </c>
    </row>
    <row r="21" customFormat="false" ht="15" hidden="false" customHeight="false" outlineLevel="0" collapsed="false">
      <c r="A21" s="10"/>
      <c r="B21" s="10"/>
      <c r="C21" s="10"/>
      <c r="D21" s="11"/>
      <c r="E21" s="11"/>
      <c r="F21" s="11"/>
      <c r="G21" s="11"/>
      <c r="H21" s="11"/>
      <c r="I21" s="11"/>
      <c r="J21" s="10"/>
      <c r="K21" s="11"/>
      <c r="L21" s="11"/>
      <c r="M21" s="11"/>
      <c r="N21" s="11"/>
      <c r="O21" s="11"/>
      <c r="P21" s="10"/>
      <c r="Q21" s="10"/>
      <c r="R21" s="11"/>
      <c r="S21" s="12" t="str">
        <f aca="false">IF($A21="","",IF(F21=0,0,G21/F21))</f>
        <v/>
      </c>
      <c r="T21" s="13" t="str">
        <f aca="false">IF($A21="","",MEDIAN(0,0.6*(S21*100)+0.4*H21,100))</f>
        <v/>
      </c>
      <c r="U21" s="13" t="str">
        <f aca="false">IF($A21="","",MEDIAN(0,IF(J21="Sim",45,0)+MEDIAN(0,K21*10,30)+MEDIAN(0,25-I21/3,25),100))</f>
        <v/>
      </c>
      <c r="V21" s="13" t="str">
        <f aca="false">IF($A21="","",MEDIAN(0,0.5*N21+0.3*MEDIAN(0,100-L21*12,100)+0.2*MEDIAN(0,100-M21*40,100),100))</f>
        <v/>
      </c>
      <c r="W21" s="13" t="str">
        <f aca="false">IF($A21="","",MEDIAN(0,IF(P21="Em dia",60,20)+IF(E21&gt;=D21,40,IF(E21&gt;=D21*0.85,20,0)),100))</f>
        <v/>
      </c>
      <c r="X21" s="13" t="str">
        <f aca="false">IF($A21="","",MEDIAN(0,(O21+100)/2,100))</f>
        <v/>
      </c>
      <c r="Y21" s="14" t="str">
        <f aca="false">IF($A21="","",ROUND(0.35*T21+0.2*U21+0.2*V21+0.15*W21+0.1*X21,0))</f>
        <v/>
      </c>
      <c r="Z21" s="14" t="str">
        <f aca="false">IF($A21="","",ROUND(MEDIAN(0,(1-S21)*25+IF(H21&lt;40,15,IF(H21&lt;60,7,0))+IF(J21="Sim",0,18)+IF(K21&lt;=1,10,0)+MEDIAN(0,I21/4,18)+M21*8+IF(E21&lt;D21,12,0)+IF(P21="Atrasado",10,0)+IF(O21&lt;0,8,0),100),0))</f>
        <v/>
      </c>
      <c r="AA21" s="13" t="str">
        <f aca="false">IF(N21="","",IF(OR(E21=0,Y21&lt;45,Z21&gt;=65,AND(R21&lt;=60,Y21&lt;60,E21&gt;0)),"Vermelho",IF(OR(AND(Y21&gt;=45,Y21&lt;70),AND(Z21&gt;=45,Z21&lt;65)),"Amarelo","Verde")))</f>
        <v/>
      </c>
      <c r="AB21" s="13" t="str">
        <f aca="false">IF($A21="","",IF(AND(E21&gt;0,OR(S21&gt;=0.85,AND(Y21&gt;=75,O21&gt;=8,E21&gt;=D21,S21&gt;=0.7))),"Sim","Não"))</f>
        <v/>
      </c>
      <c r="AC21" s="15" t="str">
        <f aca="false">IF($A21="","",IF(AB21="Sim",ROUND(E21*0.25,0),0))</f>
        <v/>
      </c>
    </row>
    <row r="22" customFormat="false" ht="15" hidden="false" customHeight="false" outlineLevel="0" collapsed="false">
      <c r="A22" s="16"/>
      <c r="B22" s="16"/>
      <c r="C22" s="16"/>
      <c r="D22" s="17"/>
      <c r="E22" s="17"/>
      <c r="F22" s="17"/>
      <c r="G22" s="17"/>
      <c r="H22" s="17"/>
      <c r="I22" s="17"/>
      <c r="J22" s="16"/>
      <c r="K22" s="17"/>
      <c r="L22" s="17"/>
      <c r="M22" s="17"/>
      <c r="N22" s="17"/>
      <c r="O22" s="17"/>
      <c r="P22" s="16"/>
      <c r="Q22" s="16"/>
      <c r="R22" s="17"/>
      <c r="S22" s="18" t="str">
        <f aca="false">IF($A22="","",IF(F22=0,0,G22/F22))</f>
        <v/>
      </c>
      <c r="T22" s="19" t="str">
        <f aca="false">IF($A22="","",MEDIAN(0,0.6*(S22*100)+0.4*H22,100))</f>
        <v/>
      </c>
      <c r="U22" s="19" t="str">
        <f aca="false">IF($A22="","",MEDIAN(0,IF(J22="Sim",45,0)+MEDIAN(0,K22*10,30)+MEDIAN(0,25-I22/3,25),100))</f>
        <v/>
      </c>
      <c r="V22" s="19" t="str">
        <f aca="false">IF($A22="","",MEDIAN(0,0.5*N22+0.3*MEDIAN(0,100-L22*12,100)+0.2*MEDIAN(0,100-M22*40,100),100))</f>
        <v/>
      </c>
      <c r="W22" s="19" t="str">
        <f aca="false">IF($A22="","",MEDIAN(0,IF(P22="Em dia",60,20)+IF(E22&gt;=D22,40,IF(E22&gt;=D22*0.85,20,0)),100))</f>
        <v/>
      </c>
      <c r="X22" s="19" t="str">
        <f aca="false">IF($A22="","",MEDIAN(0,(O22+100)/2,100))</f>
        <v/>
      </c>
      <c r="Y22" s="20" t="str">
        <f aca="false">IF($A22="","",ROUND(0.35*T22+0.2*U22+0.2*V22+0.15*W22+0.1*X22,0))</f>
        <v/>
      </c>
      <c r="Z22" s="20" t="str">
        <f aca="false">IF($A22="","",ROUND(MEDIAN(0,(1-S22)*25+IF(H22&lt;40,15,IF(H22&lt;60,7,0))+IF(J22="Sim",0,18)+IF(K22&lt;=1,10,0)+MEDIAN(0,I22/4,18)+M22*8+IF(E22&lt;D22,12,0)+IF(P22="Atrasado",10,0)+IF(O22&lt;0,8,0),100),0))</f>
        <v/>
      </c>
      <c r="AA22" s="19" t="str">
        <f aca="false">IF(N22="","",IF(OR(E22=0,Y22&lt;45,Z22&gt;=65,AND(R22&lt;=60,Y22&lt;60,E22&gt;0)),"Vermelho",IF(OR(AND(Y22&gt;=45,Y22&lt;70),AND(Z22&gt;=45,Z22&lt;65)),"Amarelo","Verde")))</f>
        <v/>
      </c>
      <c r="AB22" s="19" t="str">
        <f aca="false">IF($A22="","",IF(AND(E22&gt;0,OR(S22&gt;=0.85,AND(Y22&gt;=75,O22&gt;=8,E22&gt;=D22,S22&gt;=0.7))),"Sim","Não"))</f>
        <v/>
      </c>
      <c r="AC22" s="21" t="str">
        <f aca="false">IF($A22="","",IF(AB22="Sim",ROUND(E22*0.25,0),0))</f>
        <v/>
      </c>
    </row>
    <row r="23" customFormat="false" ht="15" hidden="false" customHeight="false" outlineLevel="0" collapsed="false">
      <c r="A23" s="10"/>
      <c r="B23" s="10"/>
      <c r="C23" s="10"/>
      <c r="D23" s="11"/>
      <c r="E23" s="11"/>
      <c r="F23" s="11"/>
      <c r="G23" s="11"/>
      <c r="H23" s="11"/>
      <c r="I23" s="11"/>
      <c r="J23" s="10"/>
      <c r="K23" s="11"/>
      <c r="L23" s="11"/>
      <c r="M23" s="11"/>
      <c r="N23" s="11"/>
      <c r="O23" s="11"/>
      <c r="P23" s="10"/>
      <c r="Q23" s="10"/>
      <c r="R23" s="11"/>
      <c r="S23" s="12" t="str">
        <f aca="false">IF($A23="","",IF(F23=0,0,G23/F23))</f>
        <v/>
      </c>
      <c r="T23" s="13" t="str">
        <f aca="false">IF($A23="","",MEDIAN(0,0.6*(S23*100)+0.4*H23,100))</f>
        <v/>
      </c>
      <c r="U23" s="13" t="str">
        <f aca="false">IF($A23="","",MEDIAN(0,IF(J23="Sim",45,0)+MEDIAN(0,K23*10,30)+MEDIAN(0,25-I23/3,25),100))</f>
        <v/>
      </c>
      <c r="V23" s="13" t="str">
        <f aca="false">IF($A23="","",MEDIAN(0,0.5*N23+0.3*MEDIAN(0,100-L23*12,100)+0.2*MEDIAN(0,100-M23*40,100),100))</f>
        <v/>
      </c>
      <c r="W23" s="13" t="str">
        <f aca="false">IF($A23="","",MEDIAN(0,IF(P23="Em dia",60,20)+IF(E23&gt;=D23,40,IF(E23&gt;=D23*0.85,20,0)),100))</f>
        <v/>
      </c>
      <c r="X23" s="13" t="str">
        <f aca="false">IF($A23="","",MEDIAN(0,(O23+100)/2,100))</f>
        <v/>
      </c>
      <c r="Y23" s="14" t="str">
        <f aca="false">IF($A23="","",ROUND(0.35*T23+0.2*U23+0.2*V23+0.15*W23+0.1*X23,0))</f>
        <v/>
      </c>
      <c r="Z23" s="14" t="str">
        <f aca="false">IF($A23="","",ROUND(MEDIAN(0,(1-S23)*25+IF(H23&lt;40,15,IF(H23&lt;60,7,0))+IF(J23="Sim",0,18)+IF(K23&lt;=1,10,0)+MEDIAN(0,I23/4,18)+M23*8+IF(E23&lt;D23,12,0)+IF(P23="Atrasado",10,0)+IF(O23&lt;0,8,0),100),0))</f>
        <v/>
      </c>
      <c r="AA23" s="13" t="str">
        <f aca="false">IF(N23="","",IF(OR(E23=0,Y23&lt;45,Z23&gt;=65,AND(R23&lt;=60,Y23&lt;60,E23&gt;0)),"Vermelho",IF(OR(AND(Y23&gt;=45,Y23&lt;70),AND(Z23&gt;=45,Z23&lt;65)),"Amarelo","Verde")))</f>
        <v/>
      </c>
      <c r="AB23" s="13" t="str">
        <f aca="false">IF($A23="","",IF(AND(E23&gt;0,OR(S23&gt;=0.85,AND(Y23&gt;=75,O23&gt;=8,E23&gt;=D23,S23&gt;=0.7))),"Sim","Não"))</f>
        <v/>
      </c>
      <c r="AC23" s="15" t="str">
        <f aca="false">IF($A23="","",IF(AB23="Sim",ROUND(E23*0.25,0),0))</f>
        <v/>
      </c>
    </row>
    <row r="24" customFormat="false" ht="15" hidden="false" customHeight="false" outlineLevel="0" collapsed="false">
      <c r="A24" s="16"/>
      <c r="B24" s="16"/>
      <c r="C24" s="16"/>
      <c r="D24" s="17"/>
      <c r="E24" s="17"/>
      <c r="F24" s="17"/>
      <c r="G24" s="17"/>
      <c r="H24" s="17"/>
      <c r="I24" s="17"/>
      <c r="J24" s="16"/>
      <c r="K24" s="17"/>
      <c r="L24" s="17"/>
      <c r="M24" s="17"/>
      <c r="N24" s="17"/>
      <c r="O24" s="17"/>
      <c r="P24" s="16"/>
      <c r="Q24" s="16"/>
      <c r="R24" s="17"/>
      <c r="S24" s="18" t="str">
        <f aca="false">IF($A24="","",IF(F24=0,0,G24/F24))</f>
        <v/>
      </c>
      <c r="T24" s="19" t="str">
        <f aca="false">IF($A24="","",MEDIAN(0,0.6*(S24*100)+0.4*H24,100))</f>
        <v/>
      </c>
      <c r="U24" s="19" t="str">
        <f aca="false">IF($A24="","",MEDIAN(0,IF(J24="Sim",45,0)+MEDIAN(0,K24*10,30)+MEDIAN(0,25-I24/3,25),100))</f>
        <v/>
      </c>
      <c r="V24" s="19" t="str">
        <f aca="false">IF($A24="","",MEDIAN(0,0.5*N24+0.3*MEDIAN(0,100-L24*12,100)+0.2*MEDIAN(0,100-M24*40,100),100))</f>
        <v/>
      </c>
      <c r="W24" s="19" t="str">
        <f aca="false">IF($A24="","",MEDIAN(0,IF(P24="Em dia",60,20)+IF(E24&gt;=D24,40,IF(E24&gt;=D24*0.85,20,0)),100))</f>
        <v/>
      </c>
      <c r="X24" s="19" t="str">
        <f aca="false">IF($A24="","",MEDIAN(0,(O24+100)/2,100))</f>
        <v/>
      </c>
      <c r="Y24" s="20" t="str">
        <f aca="false">IF($A24="","",ROUND(0.35*T24+0.2*U24+0.2*V24+0.15*W24+0.1*X24,0))</f>
        <v/>
      </c>
      <c r="Z24" s="20" t="str">
        <f aca="false">IF($A24="","",ROUND(MEDIAN(0,(1-S24)*25+IF(H24&lt;40,15,IF(H24&lt;60,7,0))+IF(J24="Sim",0,18)+IF(K24&lt;=1,10,0)+MEDIAN(0,I24/4,18)+M24*8+IF(E24&lt;D24,12,0)+IF(P24="Atrasado",10,0)+IF(O24&lt;0,8,0),100),0))</f>
        <v/>
      </c>
      <c r="AA24" s="19" t="str">
        <f aca="false">IF(N24="","",IF(OR(E24=0,Y24&lt;45,Z24&gt;=65,AND(R24&lt;=60,Y24&lt;60,E24&gt;0)),"Vermelho",IF(OR(AND(Y24&gt;=45,Y24&lt;70),AND(Z24&gt;=45,Z24&lt;65)),"Amarelo","Verde")))</f>
        <v/>
      </c>
      <c r="AB24" s="19" t="str">
        <f aca="false">IF($A24="","",IF(AND(E24&gt;0,OR(S24&gt;=0.85,AND(Y24&gt;=75,O24&gt;=8,E24&gt;=D24,S24&gt;=0.7))),"Sim","Não"))</f>
        <v/>
      </c>
      <c r="AC24" s="21" t="str">
        <f aca="false">IF($A24="","",IF(AB24="Sim",ROUND(E24*0.25,0),0))</f>
        <v/>
      </c>
    </row>
    <row r="25" customFormat="false" ht="15" hidden="false" customHeight="false" outlineLevel="0" collapsed="false">
      <c r="A25" s="10"/>
      <c r="B25" s="10"/>
      <c r="C25" s="10"/>
      <c r="D25" s="11"/>
      <c r="E25" s="11"/>
      <c r="F25" s="11"/>
      <c r="G25" s="11"/>
      <c r="H25" s="11"/>
      <c r="I25" s="11"/>
      <c r="J25" s="10"/>
      <c r="K25" s="11"/>
      <c r="L25" s="11"/>
      <c r="M25" s="11"/>
      <c r="N25" s="11"/>
      <c r="O25" s="11"/>
      <c r="P25" s="10"/>
      <c r="Q25" s="10"/>
      <c r="R25" s="11"/>
      <c r="S25" s="12" t="str">
        <f aca="false">IF($A25="","",IF(F25=0,0,G25/F25))</f>
        <v/>
      </c>
      <c r="T25" s="13" t="str">
        <f aca="false">IF($A25="","",MEDIAN(0,0.6*(S25*100)+0.4*H25,100))</f>
        <v/>
      </c>
      <c r="U25" s="13" t="str">
        <f aca="false">IF($A25="","",MEDIAN(0,IF(J25="Sim",45,0)+MEDIAN(0,K25*10,30)+MEDIAN(0,25-I25/3,25),100))</f>
        <v/>
      </c>
      <c r="V25" s="13" t="str">
        <f aca="false">IF($A25="","",MEDIAN(0,0.5*N25+0.3*MEDIAN(0,100-L25*12,100)+0.2*MEDIAN(0,100-M25*40,100),100))</f>
        <v/>
      </c>
      <c r="W25" s="13" t="str">
        <f aca="false">IF($A25="","",MEDIAN(0,IF(P25="Em dia",60,20)+IF(E25&gt;=D25,40,IF(E25&gt;=D25*0.85,20,0)),100))</f>
        <v/>
      </c>
      <c r="X25" s="13" t="str">
        <f aca="false">IF($A25="","",MEDIAN(0,(O25+100)/2,100))</f>
        <v/>
      </c>
      <c r="Y25" s="14" t="str">
        <f aca="false">IF($A25="","",ROUND(0.35*T25+0.2*U25+0.2*V25+0.15*W25+0.1*X25,0))</f>
        <v/>
      </c>
      <c r="Z25" s="14" t="str">
        <f aca="false">IF($A25="","",ROUND(MEDIAN(0,(1-S25)*25+IF(H25&lt;40,15,IF(H25&lt;60,7,0))+IF(J25="Sim",0,18)+IF(K25&lt;=1,10,0)+MEDIAN(0,I25/4,18)+M25*8+IF(E25&lt;D25,12,0)+IF(P25="Atrasado",10,0)+IF(O25&lt;0,8,0),100),0))</f>
        <v/>
      </c>
      <c r="AA25" s="13" t="str">
        <f aca="false">IF(N25="","",IF(OR(E25=0,Y25&lt;45,Z25&gt;=65,AND(R25&lt;=60,Y25&lt;60,E25&gt;0)),"Vermelho",IF(OR(AND(Y25&gt;=45,Y25&lt;70),AND(Z25&gt;=45,Z25&lt;65)),"Amarelo","Verde")))</f>
        <v/>
      </c>
      <c r="AB25" s="13" t="str">
        <f aca="false">IF($A25="","",IF(AND(E25&gt;0,OR(S25&gt;=0.85,AND(Y25&gt;=75,O25&gt;=8,E25&gt;=D25,S25&gt;=0.7))),"Sim","Não"))</f>
        <v/>
      </c>
      <c r="AC25" s="15" t="str">
        <f aca="false">IF($A25="","",IF(AB25="Sim",ROUND(E25*0.25,0),0))</f>
        <v/>
      </c>
    </row>
    <row r="26" customFormat="false" ht="15" hidden="false" customHeight="false" outlineLevel="0" collapsed="false">
      <c r="A26" s="16"/>
      <c r="B26" s="16"/>
      <c r="C26" s="16"/>
      <c r="D26" s="17"/>
      <c r="E26" s="17"/>
      <c r="F26" s="17"/>
      <c r="G26" s="17"/>
      <c r="H26" s="17"/>
      <c r="I26" s="17"/>
      <c r="J26" s="16"/>
      <c r="K26" s="17"/>
      <c r="L26" s="17"/>
      <c r="M26" s="17"/>
      <c r="N26" s="17"/>
      <c r="O26" s="17"/>
      <c r="P26" s="16"/>
      <c r="Q26" s="16"/>
      <c r="R26" s="17"/>
      <c r="S26" s="18" t="str">
        <f aca="false">IF($A26="","",IF(F26=0,0,G26/F26))</f>
        <v/>
      </c>
      <c r="T26" s="19" t="str">
        <f aca="false">IF($A26="","",MEDIAN(0,0.6*(S26*100)+0.4*H26,100))</f>
        <v/>
      </c>
      <c r="U26" s="19" t="str">
        <f aca="false">IF($A26="","",MEDIAN(0,IF(J26="Sim",45,0)+MEDIAN(0,K26*10,30)+MEDIAN(0,25-I26/3,25),100))</f>
        <v/>
      </c>
      <c r="V26" s="19" t="str">
        <f aca="false">IF($A26="","",MEDIAN(0,0.5*N26+0.3*MEDIAN(0,100-L26*12,100)+0.2*MEDIAN(0,100-M26*40,100),100))</f>
        <v/>
      </c>
      <c r="W26" s="19" t="str">
        <f aca="false">IF($A26="","",MEDIAN(0,IF(P26="Em dia",60,20)+IF(E26&gt;=D26,40,IF(E26&gt;=D26*0.85,20,0)),100))</f>
        <v/>
      </c>
      <c r="X26" s="19" t="str">
        <f aca="false">IF($A26="","",MEDIAN(0,(O26+100)/2,100))</f>
        <v/>
      </c>
      <c r="Y26" s="20" t="str">
        <f aca="false">IF($A26="","",ROUND(0.35*T26+0.2*U26+0.2*V26+0.15*W26+0.1*X26,0))</f>
        <v/>
      </c>
      <c r="Z26" s="20" t="str">
        <f aca="false">IF($A26="","",ROUND(MEDIAN(0,(1-S26)*25+IF(H26&lt;40,15,IF(H26&lt;60,7,0))+IF(J26="Sim",0,18)+IF(K26&lt;=1,10,0)+MEDIAN(0,I26/4,18)+M26*8+IF(E26&lt;D26,12,0)+IF(P26="Atrasado",10,0)+IF(O26&lt;0,8,0),100),0))</f>
        <v/>
      </c>
      <c r="AA26" s="19" t="str">
        <f aca="false">IF(N26="","",IF(OR(E26=0,Y26&lt;45,Z26&gt;=65,AND(R26&lt;=60,Y26&lt;60,E26&gt;0)),"Vermelho",IF(OR(AND(Y26&gt;=45,Y26&lt;70),AND(Z26&gt;=45,Z26&lt;65)),"Amarelo","Verde")))</f>
        <v/>
      </c>
      <c r="AB26" s="19" t="str">
        <f aca="false">IF($A26="","",IF(AND(E26&gt;0,OR(S26&gt;=0.85,AND(Y26&gt;=75,O26&gt;=8,E26&gt;=D26,S26&gt;=0.7))),"Sim","Não"))</f>
        <v/>
      </c>
      <c r="AC26" s="21" t="str">
        <f aca="false">IF($A26="","",IF(AB26="Sim",ROUND(E26*0.25,0),0))</f>
        <v/>
      </c>
    </row>
    <row r="27" customFormat="false" ht="15" hidden="false" customHeight="false" outlineLevel="0" collapsed="false">
      <c r="A27" s="10"/>
      <c r="B27" s="10"/>
      <c r="C27" s="10"/>
      <c r="D27" s="11"/>
      <c r="E27" s="11"/>
      <c r="F27" s="11"/>
      <c r="G27" s="11"/>
      <c r="H27" s="11"/>
      <c r="I27" s="11"/>
      <c r="J27" s="10"/>
      <c r="K27" s="11"/>
      <c r="L27" s="11"/>
      <c r="M27" s="11"/>
      <c r="N27" s="11"/>
      <c r="O27" s="11"/>
      <c r="P27" s="10"/>
      <c r="Q27" s="10"/>
      <c r="R27" s="11"/>
      <c r="S27" s="12" t="str">
        <f aca="false">IF($A27="","",IF(F27=0,0,G27/F27))</f>
        <v/>
      </c>
      <c r="T27" s="13" t="str">
        <f aca="false">IF($A27="","",MEDIAN(0,0.6*(S27*100)+0.4*H27,100))</f>
        <v/>
      </c>
      <c r="U27" s="13" t="str">
        <f aca="false">IF($A27="","",MEDIAN(0,IF(J27="Sim",45,0)+MEDIAN(0,K27*10,30)+MEDIAN(0,25-I27/3,25),100))</f>
        <v/>
      </c>
      <c r="V27" s="13" t="str">
        <f aca="false">IF($A27="","",MEDIAN(0,0.5*N27+0.3*MEDIAN(0,100-L27*12,100)+0.2*MEDIAN(0,100-M27*40,100),100))</f>
        <v/>
      </c>
      <c r="W27" s="13" t="str">
        <f aca="false">IF($A27="","",MEDIAN(0,IF(P27="Em dia",60,20)+IF(E27&gt;=D27,40,IF(E27&gt;=D27*0.85,20,0)),100))</f>
        <v/>
      </c>
      <c r="X27" s="13" t="str">
        <f aca="false">IF($A27="","",MEDIAN(0,(O27+100)/2,100))</f>
        <v/>
      </c>
      <c r="Y27" s="14" t="str">
        <f aca="false">IF($A27="","",ROUND(0.35*T27+0.2*U27+0.2*V27+0.15*W27+0.1*X27,0))</f>
        <v/>
      </c>
      <c r="Z27" s="14" t="str">
        <f aca="false">IF($A27="","",ROUND(MEDIAN(0,(1-S27)*25+IF(H27&lt;40,15,IF(H27&lt;60,7,0))+IF(J27="Sim",0,18)+IF(K27&lt;=1,10,0)+MEDIAN(0,I27/4,18)+M27*8+IF(E27&lt;D27,12,0)+IF(P27="Atrasado",10,0)+IF(O27&lt;0,8,0),100),0))</f>
        <v/>
      </c>
      <c r="AA27" s="13" t="str">
        <f aca="false">IF(N27="","",IF(OR(E27=0,Y27&lt;45,Z27&gt;=65,AND(R27&lt;=60,Y27&lt;60,E27&gt;0)),"Vermelho",IF(OR(AND(Y27&gt;=45,Y27&lt;70),AND(Z27&gt;=45,Z27&lt;65)),"Amarelo","Verde")))</f>
        <v/>
      </c>
      <c r="AB27" s="13" t="str">
        <f aca="false">IF($A27="","",IF(AND(E27&gt;0,OR(S27&gt;=0.85,AND(Y27&gt;=75,O27&gt;=8,E27&gt;=D27,S27&gt;=0.7))),"Sim","Não"))</f>
        <v/>
      </c>
      <c r="AC27" s="15" t="str">
        <f aca="false">IF($A27="","",IF(AB27="Sim",ROUND(E27*0.25,0),0))</f>
        <v/>
      </c>
    </row>
    <row r="28" customFormat="false" ht="15" hidden="false" customHeight="false" outlineLevel="0" collapsed="false">
      <c r="A28" s="16"/>
      <c r="B28" s="16"/>
      <c r="C28" s="16"/>
      <c r="D28" s="17"/>
      <c r="E28" s="17"/>
      <c r="F28" s="17"/>
      <c r="G28" s="17"/>
      <c r="H28" s="17"/>
      <c r="I28" s="17"/>
      <c r="J28" s="16"/>
      <c r="K28" s="17"/>
      <c r="L28" s="17"/>
      <c r="M28" s="17"/>
      <c r="N28" s="17"/>
      <c r="O28" s="17"/>
      <c r="P28" s="16"/>
      <c r="Q28" s="16"/>
      <c r="R28" s="17"/>
      <c r="S28" s="18" t="str">
        <f aca="false">IF($A28="","",IF(F28=0,0,G28/F28))</f>
        <v/>
      </c>
      <c r="T28" s="19" t="str">
        <f aca="false">IF($A28="","",MEDIAN(0,0.6*(S28*100)+0.4*H28,100))</f>
        <v/>
      </c>
      <c r="U28" s="19" t="str">
        <f aca="false">IF($A28="","",MEDIAN(0,IF(J28="Sim",45,0)+MEDIAN(0,K28*10,30)+MEDIAN(0,25-I28/3,25),100))</f>
        <v/>
      </c>
      <c r="V28" s="19" t="str">
        <f aca="false">IF($A28="","",MEDIAN(0,0.5*N28+0.3*MEDIAN(0,100-L28*12,100)+0.2*MEDIAN(0,100-M28*40,100),100))</f>
        <v/>
      </c>
      <c r="W28" s="19" t="str">
        <f aca="false">IF($A28="","",MEDIAN(0,IF(P28="Em dia",60,20)+IF(E28&gt;=D28,40,IF(E28&gt;=D28*0.85,20,0)),100))</f>
        <v/>
      </c>
      <c r="X28" s="19" t="str">
        <f aca="false">IF($A28="","",MEDIAN(0,(O28+100)/2,100))</f>
        <v/>
      </c>
      <c r="Y28" s="20" t="str">
        <f aca="false">IF($A28="","",ROUND(0.35*T28+0.2*U28+0.2*V28+0.15*W28+0.1*X28,0))</f>
        <v/>
      </c>
      <c r="Z28" s="20" t="str">
        <f aca="false">IF($A28="","",ROUND(MEDIAN(0,(1-S28)*25+IF(H28&lt;40,15,IF(H28&lt;60,7,0))+IF(J28="Sim",0,18)+IF(K28&lt;=1,10,0)+MEDIAN(0,I28/4,18)+M28*8+IF(E28&lt;D28,12,0)+IF(P28="Atrasado",10,0)+IF(O28&lt;0,8,0),100),0))</f>
        <v/>
      </c>
      <c r="AA28" s="19" t="str">
        <f aca="false">IF(N28="","",IF(OR(E28=0,Y28&lt;45,Z28&gt;=65,AND(R28&lt;=60,Y28&lt;60,E28&gt;0)),"Vermelho",IF(OR(AND(Y28&gt;=45,Y28&lt;70),AND(Z28&gt;=45,Z28&lt;65)),"Amarelo","Verde")))</f>
        <v/>
      </c>
      <c r="AB28" s="19" t="str">
        <f aca="false">IF($A28="","",IF(AND(E28&gt;0,OR(S28&gt;=0.85,AND(Y28&gt;=75,O28&gt;=8,E28&gt;=D28,S28&gt;=0.7))),"Sim","Não"))</f>
        <v/>
      </c>
      <c r="AC28" s="21" t="str">
        <f aca="false">IF($A28="","",IF(AB28="Sim",ROUND(E28*0.25,0),0))</f>
        <v/>
      </c>
    </row>
    <row r="29" customFormat="false" ht="15" hidden="false" customHeight="false" outlineLevel="0" collapsed="false">
      <c r="A29" s="10"/>
      <c r="B29" s="10"/>
      <c r="C29" s="10"/>
      <c r="D29" s="11"/>
      <c r="E29" s="11"/>
      <c r="F29" s="11"/>
      <c r="G29" s="11"/>
      <c r="H29" s="11"/>
      <c r="I29" s="11"/>
      <c r="J29" s="10"/>
      <c r="K29" s="11"/>
      <c r="L29" s="11"/>
      <c r="M29" s="11"/>
      <c r="N29" s="11"/>
      <c r="O29" s="11"/>
      <c r="P29" s="10"/>
      <c r="Q29" s="10"/>
      <c r="R29" s="11"/>
      <c r="S29" s="12" t="str">
        <f aca="false">IF($A29="","",IF(F29=0,0,G29/F29))</f>
        <v/>
      </c>
      <c r="T29" s="13" t="str">
        <f aca="false">IF($A29="","",MEDIAN(0,0.6*(S29*100)+0.4*H29,100))</f>
        <v/>
      </c>
      <c r="U29" s="13" t="str">
        <f aca="false">IF($A29="","",MEDIAN(0,IF(J29="Sim",45,0)+MEDIAN(0,K29*10,30)+MEDIAN(0,25-I29/3,25),100))</f>
        <v/>
      </c>
      <c r="V29" s="13" t="str">
        <f aca="false">IF($A29="","",MEDIAN(0,0.5*N29+0.3*MEDIAN(0,100-L29*12,100)+0.2*MEDIAN(0,100-M29*40,100),100))</f>
        <v/>
      </c>
      <c r="W29" s="13" t="str">
        <f aca="false">IF($A29="","",MEDIAN(0,IF(P29="Em dia",60,20)+IF(E29&gt;=D29,40,IF(E29&gt;=D29*0.85,20,0)),100))</f>
        <v/>
      </c>
      <c r="X29" s="13" t="str">
        <f aca="false">IF($A29="","",MEDIAN(0,(O29+100)/2,100))</f>
        <v/>
      </c>
      <c r="Y29" s="14" t="str">
        <f aca="false">IF($A29="","",ROUND(0.35*T29+0.2*U29+0.2*V29+0.15*W29+0.1*X29,0))</f>
        <v/>
      </c>
      <c r="Z29" s="14" t="str">
        <f aca="false">IF($A29="","",ROUND(MEDIAN(0,(1-S29)*25+IF(H29&lt;40,15,IF(H29&lt;60,7,0))+IF(J29="Sim",0,18)+IF(K29&lt;=1,10,0)+MEDIAN(0,I29/4,18)+M29*8+IF(E29&lt;D29,12,0)+IF(P29="Atrasado",10,0)+IF(O29&lt;0,8,0),100),0))</f>
        <v/>
      </c>
      <c r="AA29" s="13" t="str">
        <f aca="false">IF(N29="","",IF(OR(E29=0,Y29&lt;45,Z29&gt;=65,AND(R29&lt;=60,Y29&lt;60,E29&gt;0)),"Vermelho",IF(OR(AND(Y29&gt;=45,Y29&lt;70),AND(Z29&gt;=45,Z29&lt;65)),"Amarelo","Verde")))</f>
        <v/>
      </c>
      <c r="AB29" s="13" t="str">
        <f aca="false">IF($A29="","",IF(AND(E29&gt;0,OR(S29&gt;=0.85,AND(Y29&gt;=75,O29&gt;=8,E29&gt;=D29,S29&gt;=0.7))),"Sim","Não"))</f>
        <v/>
      </c>
      <c r="AC29" s="15" t="str">
        <f aca="false">IF($A29="","",IF(AB29="Sim",ROUND(E29*0.25,0),0))</f>
        <v/>
      </c>
    </row>
    <row r="30" customFormat="false" ht="15" hidden="false" customHeight="false" outlineLevel="0" collapsed="false">
      <c r="A30" s="16"/>
      <c r="B30" s="16"/>
      <c r="C30" s="16"/>
      <c r="D30" s="17"/>
      <c r="E30" s="17"/>
      <c r="F30" s="17"/>
      <c r="G30" s="17"/>
      <c r="H30" s="17"/>
      <c r="I30" s="17"/>
      <c r="J30" s="16"/>
      <c r="K30" s="17"/>
      <c r="L30" s="17"/>
      <c r="M30" s="17"/>
      <c r="N30" s="17"/>
      <c r="O30" s="17"/>
      <c r="P30" s="16"/>
      <c r="Q30" s="16"/>
      <c r="R30" s="17"/>
      <c r="S30" s="18" t="str">
        <f aca="false">IF($A30="","",IF(F30=0,0,G30/F30))</f>
        <v/>
      </c>
      <c r="T30" s="19" t="str">
        <f aca="false">IF($A30="","",MEDIAN(0,0.6*(S30*100)+0.4*H30,100))</f>
        <v/>
      </c>
      <c r="U30" s="19" t="str">
        <f aca="false">IF($A30="","",MEDIAN(0,IF(J30="Sim",45,0)+MEDIAN(0,K30*10,30)+MEDIAN(0,25-I30/3,25),100))</f>
        <v/>
      </c>
      <c r="V30" s="19" t="str">
        <f aca="false">IF($A30="","",MEDIAN(0,0.5*N30+0.3*MEDIAN(0,100-L30*12,100)+0.2*MEDIAN(0,100-M30*40,100),100))</f>
        <v/>
      </c>
      <c r="W30" s="19" t="str">
        <f aca="false">IF($A30="","",MEDIAN(0,IF(P30="Em dia",60,20)+IF(E30&gt;=D30,40,IF(E30&gt;=D30*0.85,20,0)),100))</f>
        <v/>
      </c>
      <c r="X30" s="19" t="str">
        <f aca="false">IF($A30="","",MEDIAN(0,(O30+100)/2,100))</f>
        <v/>
      </c>
      <c r="Y30" s="20" t="str">
        <f aca="false">IF($A30="","",ROUND(0.35*T30+0.2*U30+0.2*V30+0.15*W30+0.1*X30,0))</f>
        <v/>
      </c>
      <c r="Z30" s="20" t="str">
        <f aca="false">IF($A30="","",ROUND(MEDIAN(0,(1-S30)*25+IF(H30&lt;40,15,IF(H30&lt;60,7,0))+IF(J30="Sim",0,18)+IF(K30&lt;=1,10,0)+MEDIAN(0,I30/4,18)+M30*8+IF(E30&lt;D30,12,0)+IF(P30="Atrasado",10,0)+IF(O30&lt;0,8,0),100),0))</f>
        <v/>
      </c>
      <c r="AA30" s="19" t="str">
        <f aca="false">IF(N30="","",IF(OR(E30=0,Y30&lt;45,Z30&gt;=65,AND(R30&lt;=60,Y30&lt;60,E30&gt;0)),"Vermelho",IF(OR(AND(Y30&gt;=45,Y30&lt;70),AND(Z30&gt;=45,Z30&lt;65)),"Amarelo","Verde")))</f>
        <v/>
      </c>
      <c r="AB30" s="19" t="str">
        <f aca="false">IF($A30="","",IF(AND(E30&gt;0,OR(S30&gt;=0.85,AND(Y30&gt;=75,O30&gt;=8,E30&gt;=D30,S30&gt;=0.7))),"Sim","Não"))</f>
        <v/>
      </c>
      <c r="AC30" s="21" t="str">
        <f aca="false">IF($A30="","",IF(AB30="Sim",ROUND(E30*0.25,0),0))</f>
        <v/>
      </c>
    </row>
    <row r="31" customFormat="false" ht="15" hidden="false" customHeight="false" outlineLevel="0" collapsed="false">
      <c r="A31" s="10"/>
      <c r="B31" s="10"/>
      <c r="C31" s="10"/>
      <c r="D31" s="11"/>
      <c r="E31" s="11"/>
      <c r="F31" s="11"/>
      <c r="G31" s="11"/>
      <c r="H31" s="11"/>
      <c r="I31" s="11"/>
      <c r="J31" s="10"/>
      <c r="K31" s="11"/>
      <c r="L31" s="11"/>
      <c r="M31" s="11"/>
      <c r="N31" s="11"/>
      <c r="O31" s="11"/>
      <c r="P31" s="10"/>
      <c r="Q31" s="10"/>
      <c r="R31" s="11"/>
      <c r="S31" s="12" t="str">
        <f aca="false">IF($A31="","",IF(F31=0,0,G31/F31))</f>
        <v/>
      </c>
      <c r="T31" s="13" t="str">
        <f aca="false">IF($A31="","",MEDIAN(0,0.6*(S31*100)+0.4*H31,100))</f>
        <v/>
      </c>
      <c r="U31" s="13" t="str">
        <f aca="false">IF($A31="","",MEDIAN(0,IF(J31="Sim",45,0)+MEDIAN(0,K31*10,30)+MEDIAN(0,25-I31/3,25),100))</f>
        <v/>
      </c>
      <c r="V31" s="13" t="str">
        <f aca="false">IF($A31="","",MEDIAN(0,0.5*N31+0.3*MEDIAN(0,100-L31*12,100)+0.2*MEDIAN(0,100-M31*40,100),100))</f>
        <v/>
      </c>
      <c r="W31" s="13" t="str">
        <f aca="false">IF($A31="","",MEDIAN(0,IF(P31="Em dia",60,20)+IF(E31&gt;=D31,40,IF(E31&gt;=D31*0.85,20,0)),100))</f>
        <v/>
      </c>
      <c r="X31" s="13" t="str">
        <f aca="false">IF($A31="","",MEDIAN(0,(O31+100)/2,100))</f>
        <v/>
      </c>
      <c r="Y31" s="14" t="str">
        <f aca="false">IF($A31="","",ROUND(0.35*T31+0.2*U31+0.2*V31+0.15*W31+0.1*X31,0))</f>
        <v/>
      </c>
      <c r="Z31" s="14" t="str">
        <f aca="false">IF($A31="","",ROUND(MEDIAN(0,(1-S31)*25+IF(H31&lt;40,15,IF(H31&lt;60,7,0))+IF(J31="Sim",0,18)+IF(K31&lt;=1,10,0)+MEDIAN(0,I31/4,18)+M31*8+IF(E31&lt;D31,12,0)+IF(P31="Atrasado",10,0)+IF(O31&lt;0,8,0),100),0))</f>
        <v/>
      </c>
      <c r="AA31" s="13" t="str">
        <f aca="false">IF(N31="","",IF(OR(E31=0,Y31&lt;45,Z31&gt;=65,AND(R31&lt;=60,Y31&lt;60,E31&gt;0)),"Vermelho",IF(OR(AND(Y31&gt;=45,Y31&lt;70),AND(Z31&gt;=45,Z31&lt;65)),"Amarelo","Verde")))</f>
        <v/>
      </c>
      <c r="AB31" s="13" t="str">
        <f aca="false">IF($A31="","",IF(AND(E31&gt;0,OR(S31&gt;=0.85,AND(Y31&gt;=75,O31&gt;=8,E31&gt;=D31,S31&gt;=0.7))),"Sim","Não"))</f>
        <v/>
      </c>
      <c r="AC31" s="15" t="str">
        <f aca="false">IF($A31="","",IF(AB31="Sim",ROUND(E31*0.25,0),0))</f>
        <v/>
      </c>
    </row>
    <row r="32" customFormat="false" ht="15" hidden="false" customHeight="false" outlineLevel="0" collapsed="false">
      <c r="A32" s="16"/>
      <c r="B32" s="16"/>
      <c r="C32" s="16"/>
      <c r="D32" s="17"/>
      <c r="E32" s="17"/>
      <c r="F32" s="17"/>
      <c r="G32" s="17"/>
      <c r="H32" s="17"/>
      <c r="I32" s="17"/>
      <c r="J32" s="16"/>
      <c r="K32" s="17"/>
      <c r="L32" s="17"/>
      <c r="M32" s="17"/>
      <c r="N32" s="17"/>
      <c r="O32" s="17"/>
      <c r="P32" s="16"/>
      <c r="Q32" s="16"/>
      <c r="R32" s="17"/>
      <c r="S32" s="18" t="str">
        <f aca="false">IF($A32="","",IF(F32=0,0,G32/F32))</f>
        <v/>
      </c>
      <c r="T32" s="19" t="str">
        <f aca="false">IF($A32="","",MEDIAN(0,0.6*(S32*100)+0.4*H32,100))</f>
        <v/>
      </c>
      <c r="U32" s="19" t="str">
        <f aca="false">IF($A32="","",MEDIAN(0,IF(J32="Sim",45,0)+MEDIAN(0,K32*10,30)+MEDIAN(0,25-I32/3,25),100))</f>
        <v/>
      </c>
      <c r="V32" s="19" t="str">
        <f aca="false">IF($A32="","",MEDIAN(0,0.5*N32+0.3*MEDIAN(0,100-L32*12,100)+0.2*MEDIAN(0,100-M32*40,100),100))</f>
        <v/>
      </c>
      <c r="W32" s="19" t="str">
        <f aca="false">IF($A32="","",MEDIAN(0,IF(P32="Em dia",60,20)+IF(E32&gt;=D32,40,IF(E32&gt;=D32*0.85,20,0)),100))</f>
        <v/>
      </c>
      <c r="X32" s="19" t="str">
        <f aca="false">IF($A32="","",MEDIAN(0,(O32+100)/2,100))</f>
        <v/>
      </c>
      <c r="Y32" s="20" t="str">
        <f aca="false">IF($A32="","",ROUND(0.35*T32+0.2*U32+0.2*V32+0.15*W32+0.1*X32,0))</f>
        <v/>
      </c>
      <c r="Z32" s="20" t="str">
        <f aca="false">IF($A32="","",ROUND(MEDIAN(0,(1-S32)*25+IF(H32&lt;40,15,IF(H32&lt;60,7,0))+IF(J32="Sim",0,18)+IF(K32&lt;=1,10,0)+MEDIAN(0,I32/4,18)+M32*8+IF(E32&lt;D32,12,0)+IF(P32="Atrasado",10,0)+IF(O32&lt;0,8,0),100),0))</f>
        <v/>
      </c>
      <c r="AA32" s="19" t="str">
        <f aca="false">IF(N32="","",IF(OR(E32=0,Y32&lt;45,Z32&gt;=65,AND(R32&lt;=60,Y32&lt;60,E32&gt;0)),"Vermelho",IF(OR(AND(Y32&gt;=45,Y32&lt;70),AND(Z32&gt;=45,Z32&lt;65)),"Amarelo","Verde")))</f>
        <v/>
      </c>
      <c r="AB32" s="19" t="str">
        <f aca="false">IF($A32="","",IF(AND(E32&gt;0,OR(S32&gt;=0.85,AND(Y32&gt;=75,O32&gt;=8,E32&gt;=D32,S32&gt;=0.7))),"Sim","Não"))</f>
        <v/>
      </c>
      <c r="AC32" s="21" t="str">
        <f aca="false">IF($A32="","",IF(AB32="Sim",ROUND(E32*0.25,0),0))</f>
        <v/>
      </c>
    </row>
    <row r="33" customFormat="false" ht="15" hidden="false" customHeight="false" outlineLevel="0" collapsed="false">
      <c r="A33" s="10"/>
      <c r="B33" s="10"/>
      <c r="C33" s="10"/>
      <c r="D33" s="11"/>
      <c r="E33" s="11"/>
      <c r="F33" s="11"/>
      <c r="G33" s="11"/>
      <c r="H33" s="11"/>
      <c r="I33" s="11"/>
      <c r="J33" s="10"/>
      <c r="K33" s="11"/>
      <c r="L33" s="11"/>
      <c r="M33" s="11"/>
      <c r="N33" s="11"/>
      <c r="O33" s="11"/>
      <c r="P33" s="10"/>
      <c r="Q33" s="10"/>
      <c r="R33" s="11"/>
      <c r="S33" s="12" t="str">
        <f aca="false">IF($A33="","",IF(F33=0,0,G33/F33))</f>
        <v/>
      </c>
      <c r="T33" s="13" t="str">
        <f aca="false">IF($A33="","",MEDIAN(0,0.6*(S33*100)+0.4*H33,100))</f>
        <v/>
      </c>
      <c r="U33" s="13" t="str">
        <f aca="false">IF($A33="","",MEDIAN(0,IF(J33="Sim",45,0)+MEDIAN(0,K33*10,30)+MEDIAN(0,25-I33/3,25),100))</f>
        <v/>
      </c>
      <c r="V33" s="13" t="str">
        <f aca="false">IF($A33="","",MEDIAN(0,0.5*N33+0.3*MEDIAN(0,100-L33*12,100)+0.2*MEDIAN(0,100-M33*40,100),100))</f>
        <v/>
      </c>
      <c r="W33" s="13" t="str">
        <f aca="false">IF($A33="","",MEDIAN(0,IF(P33="Em dia",60,20)+IF(E33&gt;=D33,40,IF(E33&gt;=D33*0.85,20,0)),100))</f>
        <v/>
      </c>
      <c r="X33" s="13" t="str">
        <f aca="false">IF($A33="","",MEDIAN(0,(O33+100)/2,100))</f>
        <v/>
      </c>
      <c r="Y33" s="14" t="str">
        <f aca="false">IF($A33="","",ROUND(0.35*T33+0.2*U33+0.2*V33+0.15*W33+0.1*X33,0))</f>
        <v/>
      </c>
      <c r="Z33" s="14" t="str">
        <f aca="false">IF($A33="","",ROUND(MEDIAN(0,(1-S33)*25+IF(H33&lt;40,15,IF(H33&lt;60,7,0))+IF(J33="Sim",0,18)+IF(K33&lt;=1,10,0)+MEDIAN(0,I33/4,18)+M33*8+IF(E33&lt;D33,12,0)+IF(P33="Atrasado",10,0)+IF(O33&lt;0,8,0),100),0))</f>
        <v/>
      </c>
      <c r="AA33" s="13" t="str">
        <f aca="false">IF(N33="","",IF(OR(E33=0,Y33&lt;45,Z33&gt;=65,AND(R33&lt;=60,Y33&lt;60,E33&gt;0)),"Vermelho",IF(OR(AND(Y33&gt;=45,Y33&lt;70),AND(Z33&gt;=45,Z33&lt;65)),"Amarelo","Verde")))</f>
        <v/>
      </c>
      <c r="AB33" s="13" t="str">
        <f aca="false">IF($A33="","",IF(AND(E33&gt;0,OR(S33&gt;=0.85,AND(Y33&gt;=75,O33&gt;=8,E33&gt;=D33,S33&gt;=0.7))),"Sim","Não"))</f>
        <v/>
      </c>
      <c r="AC33" s="15" t="str">
        <f aca="false">IF($A33="","",IF(AB33="Sim",ROUND(E33*0.25,0),0))</f>
        <v/>
      </c>
    </row>
    <row r="34" customFormat="false" ht="15" hidden="false" customHeight="false" outlineLevel="0" collapsed="false">
      <c r="A34" s="16"/>
      <c r="B34" s="16"/>
      <c r="C34" s="16"/>
      <c r="D34" s="17"/>
      <c r="E34" s="17"/>
      <c r="F34" s="17"/>
      <c r="G34" s="17"/>
      <c r="H34" s="17"/>
      <c r="I34" s="17"/>
      <c r="J34" s="16"/>
      <c r="K34" s="17"/>
      <c r="L34" s="17"/>
      <c r="M34" s="17"/>
      <c r="N34" s="17"/>
      <c r="O34" s="17"/>
      <c r="P34" s="16"/>
      <c r="Q34" s="16"/>
      <c r="R34" s="17"/>
      <c r="S34" s="18" t="str">
        <f aca="false">IF($A34="","",IF(F34=0,0,G34/F34))</f>
        <v/>
      </c>
      <c r="T34" s="19" t="str">
        <f aca="false">IF($A34="","",MEDIAN(0,0.6*(S34*100)+0.4*H34,100))</f>
        <v/>
      </c>
      <c r="U34" s="19" t="str">
        <f aca="false">IF($A34="","",MEDIAN(0,IF(J34="Sim",45,0)+MEDIAN(0,K34*10,30)+MEDIAN(0,25-I34/3,25),100))</f>
        <v/>
      </c>
      <c r="V34" s="19" t="str">
        <f aca="false">IF($A34="","",MEDIAN(0,0.5*N34+0.3*MEDIAN(0,100-L34*12,100)+0.2*MEDIAN(0,100-M34*40,100),100))</f>
        <v/>
      </c>
      <c r="W34" s="19" t="str">
        <f aca="false">IF($A34="","",MEDIAN(0,IF(P34="Em dia",60,20)+IF(E34&gt;=D34,40,IF(E34&gt;=D34*0.85,20,0)),100))</f>
        <v/>
      </c>
      <c r="X34" s="19" t="str">
        <f aca="false">IF($A34="","",MEDIAN(0,(O34+100)/2,100))</f>
        <v/>
      </c>
      <c r="Y34" s="20" t="str">
        <f aca="false">IF($A34="","",ROUND(0.35*T34+0.2*U34+0.2*V34+0.15*W34+0.1*X34,0))</f>
        <v/>
      </c>
      <c r="Z34" s="20" t="str">
        <f aca="false">IF($A34="","",ROUND(MEDIAN(0,(1-S34)*25+IF(H34&lt;40,15,IF(H34&lt;60,7,0))+IF(J34="Sim",0,18)+IF(K34&lt;=1,10,0)+MEDIAN(0,I34/4,18)+M34*8+IF(E34&lt;D34,12,0)+IF(P34="Atrasado",10,0)+IF(O34&lt;0,8,0),100),0))</f>
        <v/>
      </c>
      <c r="AA34" s="19" t="str">
        <f aca="false">IF(N34="","",IF(OR(E34=0,Y34&lt;45,Z34&gt;=65,AND(R34&lt;=60,Y34&lt;60,E34&gt;0)),"Vermelho",IF(OR(AND(Y34&gt;=45,Y34&lt;70),AND(Z34&gt;=45,Z34&lt;65)),"Amarelo","Verde")))</f>
        <v/>
      </c>
      <c r="AB34" s="19" t="str">
        <f aca="false">IF($A34="","",IF(AND(E34&gt;0,OR(S34&gt;=0.85,AND(Y34&gt;=75,O34&gt;=8,E34&gt;=D34,S34&gt;=0.7))),"Sim","Não"))</f>
        <v/>
      </c>
      <c r="AC34" s="21" t="str">
        <f aca="false">IF($A34="","",IF(AB34="Sim",ROUND(E34*0.25,0),0))</f>
        <v/>
      </c>
    </row>
    <row r="35" customFormat="false" ht="15" hidden="false" customHeight="false" outlineLevel="0" collapsed="false">
      <c r="A35" s="10"/>
      <c r="B35" s="10"/>
      <c r="C35" s="10"/>
      <c r="D35" s="11"/>
      <c r="E35" s="11"/>
      <c r="F35" s="11"/>
      <c r="G35" s="11"/>
      <c r="H35" s="11"/>
      <c r="I35" s="11"/>
      <c r="J35" s="10"/>
      <c r="K35" s="11"/>
      <c r="L35" s="11"/>
      <c r="M35" s="11"/>
      <c r="N35" s="11"/>
      <c r="O35" s="11"/>
      <c r="P35" s="10"/>
      <c r="Q35" s="10"/>
      <c r="R35" s="11"/>
      <c r="S35" s="12" t="str">
        <f aca="false">IF($A35="","",IF(F35=0,0,G35/F35))</f>
        <v/>
      </c>
      <c r="T35" s="13" t="str">
        <f aca="false">IF($A35="","",MEDIAN(0,0.6*(S35*100)+0.4*H35,100))</f>
        <v/>
      </c>
      <c r="U35" s="13" t="str">
        <f aca="false">IF($A35="","",MEDIAN(0,IF(J35="Sim",45,0)+MEDIAN(0,K35*10,30)+MEDIAN(0,25-I35/3,25),100))</f>
        <v/>
      </c>
      <c r="V35" s="13" t="str">
        <f aca="false">IF($A35="","",MEDIAN(0,0.5*N35+0.3*MEDIAN(0,100-L35*12,100)+0.2*MEDIAN(0,100-M35*40,100),100))</f>
        <v/>
      </c>
      <c r="W35" s="13" t="str">
        <f aca="false">IF($A35="","",MEDIAN(0,IF(P35="Em dia",60,20)+IF(E35&gt;=D35,40,IF(E35&gt;=D35*0.85,20,0)),100))</f>
        <v/>
      </c>
      <c r="X35" s="13" t="str">
        <f aca="false">IF($A35="","",MEDIAN(0,(O35+100)/2,100))</f>
        <v/>
      </c>
      <c r="Y35" s="14" t="str">
        <f aca="false">IF($A35="","",ROUND(0.35*T35+0.2*U35+0.2*V35+0.15*W35+0.1*X35,0))</f>
        <v/>
      </c>
      <c r="Z35" s="14" t="str">
        <f aca="false">IF($A35="","",ROUND(MEDIAN(0,(1-S35)*25+IF(H35&lt;40,15,IF(H35&lt;60,7,0))+IF(J35="Sim",0,18)+IF(K35&lt;=1,10,0)+MEDIAN(0,I35/4,18)+M35*8+IF(E35&lt;D35,12,0)+IF(P35="Atrasado",10,0)+IF(O35&lt;0,8,0),100),0))</f>
        <v/>
      </c>
      <c r="AA35" s="13" t="str">
        <f aca="false">IF(N35="","",IF(OR(E35=0,Y35&lt;45,Z35&gt;=65,AND(R35&lt;=60,Y35&lt;60,E35&gt;0)),"Vermelho",IF(OR(AND(Y35&gt;=45,Y35&lt;70),AND(Z35&gt;=45,Z35&lt;65)),"Amarelo","Verde")))</f>
        <v/>
      </c>
      <c r="AB35" s="13" t="str">
        <f aca="false">IF($A35="","",IF(AND(E35&gt;0,OR(S35&gt;=0.85,AND(Y35&gt;=75,O35&gt;=8,E35&gt;=D35,S35&gt;=0.7))),"Sim","Não"))</f>
        <v/>
      </c>
      <c r="AC35" s="15" t="str">
        <f aca="false">IF($A35="","",IF(AB35="Sim",ROUND(E35*0.25,0),0))</f>
        <v/>
      </c>
    </row>
    <row r="36" customFormat="false" ht="15" hidden="false" customHeight="false" outlineLevel="0" collapsed="false">
      <c r="A36" s="16"/>
      <c r="B36" s="16"/>
      <c r="C36" s="16"/>
      <c r="D36" s="17"/>
      <c r="E36" s="17"/>
      <c r="F36" s="17"/>
      <c r="G36" s="17"/>
      <c r="H36" s="17"/>
      <c r="I36" s="17"/>
      <c r="J36" s="16"/>
      <c r="K36" s="17"/>
      <c r="L36" s="17"/>
      <c r="M36" s="17"/>
      <c r="N36" s="17"/>
      <c r="O36" s="17"/>
      <c r="P36" s="16"/>
      <c r="Q36" s="16"/>
      <c r="R36" s="17"/>
      <c r="S36" s="18" t="str">
        <f aca="false">IF($A36="","",IF(F36=0,0,G36/F36))</f>
        <v/>
      </c>
      <c r="T36" s="19" t="str">
        <f aca="false">IF($A36="","",MEDIAN(0,0.6*(S36*100)+0.4*H36,100))</f>
        <v/>
      </c>
      <c r="U36" s="19" t="str">
        <f aca="false">IF($A36="","",MEDIAN(0,IF(J36="Sim",45,0)+MEDIAN(0,K36*10,30)+MEDIAN(0,25-I36/3,25),100))</f>
        <v/>
      </c>
      <c r="V36" s="19" t="str">
        <f aca="false">IF($A36="","",MEDIAN(0,0.5*N36+0.3*MEDIAN(0,100-L36*12,100)+0.2*MEDIAN(0,100-M36*40,100),100))</f>
        <v/>
      </c>
      <c r="W36" s="19" t="str">
        <f aca="false">IF($A36="","",MEDIAN(0,IF(P36="Em dia",60,20)+IF(E36&gt;=D36,40,IF(E36&gt;=D36*0.85,20,0)),100))</f>
        <v/>
      </c>
      <c r="X36" s="19" t="str">
        <f aca="false">IF($A36="","",MEDIAN(0,(O36+100)/2,100))</f>
        <v/>
      </c>
      <c r="Y36" s="20" t="str">
        <f aca="false">IF($A36="","",ROUND(0.35*T36+0.2*U36+0.2*V36+0.15*W36+0.1*X36,0))</f>
        <v/>
      </c>
      <c r="Z36" s="20" t="str">
        <f aca="false">IF($A36="","",ROUND(MEDIAN(0,(1-S36)*25+IF(H36&lt;40,15,IF(H36&lt;60,7,0))+IF(J36="Sim",0,18)+IF(K36&lt;=1,10,0)+MEDIAN(0,I36/4,18)+M36*8+IF(E36&lt;D36,12,0)+IF(P36="Atrasado",10,0)+IF(O36&lt;0,8,0),100),0))</f>
        <v/>
      </c>
      <c r="AA36" s="19" t="str">
        <f aca="false">IF(N36="","",IF(OR(E36=0,Y36&lt;45,Z36&gt;=65,AND(R36&lt;=60,Y36&lt;60,E36&gt;0)),"Vermelho",IF(OR(AND(Y36&gt;=45,Y36&lt;70),AND(Z36&gt;=45,Z36&lt;65)),"Amarelo","Verde")))</f>
        <v/>
      </c>
      <c r="AB36" s="19" t="str">
        <f aca="false">IF($A36="","",IF(AND(E36&gt;0,OR(S36&gt;=0.85,AND(Y36&gt;=75,O36&gt;=8,E36&gt;=D36,S36&gt;=0.7))),"Sim","Não"))</f>
        <v/>
      </c>
      <c r="AC36" s="21" t="str">
        <f aca="false">IF($A36="","",IF(AB36="Sim",ROUND(E36*0.25,0),0))</f>
        <v/>
      </c>
    </row>
    <row r="37" customFormat="false" ht="15" hidden="false" customHeight="false" outlineLevel="0" collapsed="false">
      <c r="A37" s="10"/>
      <c r="B37" s="10"/>
      <c r="C37" s="10"/>
      <c r="D37" s="11"/>
      <c r="E37" s="11"/>
      <c r="F37" s="11"/>
      <c r="G37" s="11"/>
      <c r="H37" s="11"/>
      <c r="I37" s="11"/>
      <c r="J37" s="10"/>
      <c r="K37" s="11"/>
      <c r="L37" s="11"/>
      <c r="M37" s="11"/>
      <c r="N37" s="11"/>
      <c r="O37" s="11"/>
      <c r="P37" s="10"/>
      <c r="Q37" s="10"/>
      <c r="R37" s="11"/>
      <c r="S37" s="12" t="str">
        <f aca="false">IF($A37="","",IF(F37=0,0,G37/F37))</f>
        <v/>
      </c>
      <c r="T37" s="13" t="str">
        <f aca="false">IF($A37="","",MEDIAN(0,0.6*(S37*100)+0.4*H37,100))</f>
        <v/>
      </c>
      <c r="U37" s="13" t="str">
        <f aca="false">IF($A37="","",MEDIAN(0,IF(J37="Sim",45,0)+MEDIAN(0,K37*10,30)+MEDIAN(0,25-I37/3,25),100))</f>
        <v/>
      </c>
      <c r="V37" s="13" t="str">
        <f aca="false">IF($A37="","",MEDIAN(0,0.5*N37+0.3*MEDIAN(0,100-L37*12,100)+0.2*MEDIAN(0,100-M37*40,100),100))</f>
        <v/>
      </c>
      <c r="W37" s="13" t="str">
        <f aca="false">IF($A37="","",MEDIAN(0,IF(P37="Em dia",60,20)+IF(E37&gt;=D37,40,IF(E37&gt;=D37*0.85,20,0)),100))</f>
        <v/>
      </c>
      <c r="X37" s="13" t="str">
        <f aca="false">IF($A37="","",MEDIAN(0,(O37+100)/2,100))</f>
        <v/>
      </c>
      <c r="Y37" s="14" t="str">
        <f aca="false">IF($A37="","",ROUND(0.35*T37+0.2*U37+0.2*V37+0.15*W37+0.1*X37,0))</f>
        <v/>
      </c>
      <c r="Z37" s="14" t="str">
        <f aca="false">IF($A37="","",ROUND(MEDIAN(0,(1-S37)*25+IF(H37&lt;40,15,IF(H37&lt;60,7,0))+IF(J37="Sim",0,18)+IF(K37&lt;=1,10,0)+MEDIAN(0,I37/4,18)+M37*8+IF(E37&lt;D37,12,0)+IF(P37="Atrasado",10,0)+IF(O37&lt;0,8,0),100),0))</f>
        <v/>
      </c>
      <c r="AA37" s="13" t="str">
        <f aca="false">IF(N37="","",IF(OR(E37=0,Y37&lt;45,Z37&gt;=65,AND(R37&lt;=60,Y37&lt;60,E37&gt;0)),"Vermelho",IF(OR(AND(Y37&gt;=45,Y37&lt;70),AND(Z37&gt;=45,Z37&lt;65)),"Amarelo","Verde")))</f>
        <v/>
      </c>
      <c r="AB37" s="13" t="str">
        <f aca="false">IF($A37="","",IF(AND(E37&gt;0,OR(S37&gt;=0.85,AND(Y37&gt;=75,O37&gt;=8,E37&gt;=D37,S37&gt;=0.7))),"Sim","Não"))</f>
        <v/>
      </c>
      <c r="AC37" s="15" t="str">
        <f aca="false">IF($A37="","",IF(AB37="Sim",ROUND(E37*0.25,0),0))</f>
        <v/>
      </c>
    </row>
    <row r="38" customFormat="false" ht="15" hidden="false" customHeight="false" outlineLevel="0" collapsed="false">
      <c r="A38" s="16"/>
      <c r="B38" s="16"/>
      <c r="C38" s="16"/>
      <c r="D38" s="17"/>
      <c r="E38" s="17"/>
      <c r="F38" s="17"/>
      <c r="G38" s="17"/>
      <c r="H38" s="17"/>
      <c r="I38" s="17"/>
      <c r="J38" s="16"/>
      <c r="K38" s="17"/>
      <c r="L38" s="17"/>
      <c r="M38" s="17"/>
      <c r="N38" s="17"/>
      <c r="O38" s="17"/>
      <c r="P38" s="16"/>
      <c r="Q38" s="16"/>
      <c r="R38" s="17"/>
      <c r="S38" s="18" t="str">
        <f aca="false">IF($A38="","",IF(F38=0,0,G38/F38))</f>
        <v/>
      </c>
      <c r="T38" s="19" t="str">
        <f aca="false">IF($A38="","",MEDIAN(0,0.6*(S38*100)+0.4*H38,100))</f>
        <v/>
      </c>
      <c r="U38" s="19" t="str">
        <f aca="false">IF($A38="","",MEDIAN(0,IF(J38="Sim",45,0)+MEDIAN(0,K38*10,30)+MEDIAN(0,25-I38/3,25),100))</f>
        <v/>
      </c>
      <c r="V38" s="19" t="str">
        <f aca="false">IF($A38="","",MEDIAN(0,0.5*N38+0.3*MEDIAN(0,100-L38*12,100)+0.2*MEDIAN(0,100-M38*40,100),100))</f>
        <v/>
      </c>
      <c r="W38" s="19" t="str">
        <f aca="false">IF($A38="","",MEDIAN(0,IF(P38="Em dia",60,20)+IF(E38&gt;=D38,40,IF(E38&gt;=D38*0.85,20,0)),100))</f>
        <v/>
      </c>
      <c r="X38" s="19" t="str">
        <f aca="false">IF($A38="","",MEDIAN(0,(O38+100)/2,100))</f>
        <v/>
      </c>
      <c r="Y38" s="20" t="str">
        <f aca="false">IF($A38="","",ROUND(0.35*T38+0.2*U38+0.2*V38+0.15*W38+0.1*X38,0))</f>
        <v/>
      </c>
      <c r="Z38" s="20" t="str">
        <f aca="false">IF($A38="","",ROUND(MEDIAN(0,(1-S38)*25+IF(H38&lt;40,15,IF(H38&lt;60,7,0))+IF(J38="Sim",0,18)+IF(K38&lt;=1,10,0)+MEDIAN(0,I38/4,18)+M38*8+IF(E38&lt;D38,12,0)+IF(P38="Atrasado",10,0)+IF(O38&lt;0,8,0),100),0))</f>
        <v/>
      </c>
      <c r="AA38" s="19" t="str">
        <f aca="false">IF(N38="","",IF(OR(E38=0,Y38&lt;45,Z38&gt;=65,AND(R38&lt;=60,Y38&lt;60,E38&gt;0)),"Vermelho",IF(OR(AND(Y38&gt;=45,Y38&lt;70),AND(Z38&gt;=45,Z38&lt;65)),"Amarelo","Verde")))</f>
        <v/>
      </c>
      <c r="AB38" s="19" t="str">
        <f aca="false">IF($A38="","",IF(AND(E38&gt;0,OR(S38&gt;=0.85,AND(Y38&gt;=75,O38&gt;=8,E38&gt;=D38,S38&gt;=0.7))),"Sim","Não"))</f>
        <v/>
      </c>
      <c r="AC38" s="21" t="str">
        <f aca="false">IF($A38="","",IF(AB38="Sim",ROUND(E38*0.25,0),0))</f>
        <v/>
      </c>
    </row>
    <row r="39" customFormat="false" ht="15" hidden="false" customHeight="false" outlineLevel="0" collapsed="false">
      <c r="A39" s="10"/>
      <c r="B39" s="10"/>
      <c r="C39" s="10"/>
      <c r="D39" s="11"/>
      <c r="E39" s="11"/>
      <c r="F39" s="11"/>
      <c r="G39" s="11"/>
      <c r="H39" s="11"/>
      <c r="I39" s="11"/>
      <c r="J39" s="10"/>
      <c r="K39" s="11"/>
      <c r="L39" s="11"/>
      <c r="M39" s="11"/>
      <c r="N39" s="11"/>
      <c r="O39" s="11"/>
      <c r="P39" s="10"/>
      <c r="Q39" s="10"/>
      <c r="R39" s="11"/>
      <c r="S39" s="12" t="str">
        <f aca="false">IF($A39="","",IF(F39=0,0,G39/F39))</f>
        <v/>
      </c>
      <c r="T39" s="13" t="str">
        <f aca="false">IF($A39="","",MEDIAN(0,0.6*(S39*100)+0.4*H39,100))</f>
        <v/>
      </c>
      <c r="U39" s="13" t="str">
        <f aca="false">IF($A39="","",MEDIAN(0,IF(J39="Sim",45,0)+MEDIAN(0,K39*10,30)+MEDIAN(0,25-I39/3,25),100))</f>
        <v/>
      </c>
      <c r="V39" s="13" t="str">
        <f aca="false">IF($A39="","",MEDIAN(0,0.5*N39+0.3*MEDIAN(0,100-L39*12,100)+0.2*MEDIAN(0,100-M39*40,100),100))</f>
        <v/>
      </c>
      <c r="W39" s="13" t="str">
        <f aca="false">IF($A39="","",MEDIAN(0,IF(P39="Em dia",60,20)+IF(E39&gt;=D39,40,IF(E39&gt;=D39*0.85,20,0)),100))</f>
        <v/>
      </c>
      <c r="X39" s="13" t="str">
        <f aca="false">IF($A39="","",MEDIAN(0,(O39+100)/2,100))</f>
        <v/>
      </c>
      <c r="Y39" s="14" t="str">
        <f aca="false">IF($A39="","",ROUND(0.35*T39+0.2*U39+0.2*V39+0.15*W39+0.1*X39,0))</f>
        <v/>
      </c>
      <c r="Z39" s="14" t="str">
        <f aca="false">IF($A39="","",ROUND(MEDIAN(0,(1-S39)*25+IF(H39&lt;40,15,IF(H39&lt;60,7,0))+IF(J39="Sim",0,18)+IF(K39&lt;=1,10,0)+MEDIAN(0,I39/4,18)+M39*8+IF(E39&lt;D39,12,0)+IF(P39="Atrasado",10,0)+IF(O39&lt;0,8,0),100),0))</f>
        <v/>
      </c>
      <c r="AA39" s="13" t="str">
        <f aca="false">IF(N39="","",IF(OR(E39=0,Y39&lt;45,Z39&gt;=65,AND(R39&lt;=60,Y39&lt;60,E39&gt;0)),"Vermelho",IF(OR(AND(Y39&gt;=45,Y39&lt;70),AND(Z39&gt;=45,Z39&lt;65)),"Amarelo","Verde")))</f>
        <v/>
      </c>
      <c r="AB39" s="13" t="str">
        <f aca="false">IF($A39="","",IF(AND(E39&gt;0,OR(S39&gt;=0.85,AND(Y39&gt;=75,O39&gt;=8,E39&gt;=D39,S39&gt;=0.7))),"Sim","Não"))</f>
        <v/>
      </c>
      <c r="AC39" s="15" t="str">
        <f aca="false">IF($A39="","",IF(AB39="Sim",ROUND(E39*0.25,0),0))</f>
        <v/>
      </c>
    </row>
    <row r="40" customFormat="false" ht="15" hidden="false" customHeight="false" outlineLevel="0" collapsed="false">
      <c r="A40" s="16"/>
      <c r="B40" s="16"/>
      <c r="C40" s="16"/>
      <c r="D40" s="17"/>
      <c r="E40" s="17"/>
      <c r="F40" s="17"/>
      <c r="G40" s="17"/>
      <c r="H40" s="17"/>
      <c r="I40" s="17"/>
      <c r="J40" s="16"/>
      <c r="K40" s="17"/>
      <c r="L40" s="17"/>
      <c r="M40" s="17"/>
      <c r="N40" s="17"/>
      <c r="O40" s="17"/>
      <c r="P40" s="16"/>
      <c r="Q40" s="16"/>
      <c r="R40" s="17"/>
      <c r="S40" s="18" t="str">
        <f aca="false">IF($A40="","",IF(F40=0,0,G40/F40))</f>
        <v/>
      </c>
      <c r="T40" s="19" t="str">
        <f aca="false">IF($A40="","",MEDIAN(0,0.6*(S40*100)+0.4*H40,100))</f>
        <v/>
      </c>
      <c r="U40" s="19" t="str">
        <f aca="false">IF($A40="","",MEDIAN(0,IF(J40="Sim",45,0)+MEDIAN(0,K40*10,30)+MEDIAN(0,25-I40/3,25),100))</f>
        <v/>
      </c>
      <c r="V40" s="19" t="str">
        <f aca="false">IF($A40="","",MEDIAN(0,0.5*N40+0.3*MEDIAN(0,100-L40*12,100)+0.2*MEDIAN(0,100-M40*40,100),100))</f>
        <v/>
      </c>
      <c r="W40" s="19" t="str">
        <f aca="false">IF($A40="","",MEDIAN(0,IF(P40="Em dia",60,20)+IF(E40&gt;=D40,40,IF(E40&gt;=D40*0.85,20,0)),100))</f>
        <v/>
      </c>
      <c r="X40" s="19" t="str">
        <f aca="false">IF($A40="","",MEDIAN(0,(O40+100)/2,100))</f>
        <v/>
      </c>
      <c r="Y40" s="20" t="str">
        <f aca="false">IF($A40="","",ROUND(0.35*T40+0.2*U40+0.2*V40+0.15*W40+0.1*X40,0))</f>
        <v/>
      </c>
      <c r="Z40" s="20" t="str">
        <f aca="false">IF($A40="","",ROUND(MEDIAN(0,(1-S40)*25+IF(H40&lt;40,15,IF(H40&lt;60,7,0))+IF(J40="Sim",0,18)+IF(K40&lt;=1,10,0)+MEDIAN(0,I40/4,18)+M40*8+IF(E40&lt;D40,12,0)+IF(P40="Atrasado",10,0)+IF(O40&lt;0,8,0),100),0))</f>
        <v/>
      </c>
      <c r="AA40" s="19" t="str">
        <f aca="false">IF(N40="","",IF(OR(E40=0,Y40&lt;45,Z40&gt;=65,AND(R40&lt;=60,Y40&lt;60,E40&gt;0)),"Vermelho",IF(OR(AND(Y40&gt;=45,Y40&lt;70),AND(Z40&gt;=45,Z40&lt;65)),"Amarelo","Verde")))</f>
        <v/>
      </c>
      <c r="AB40" s="19" t="str">
        <f aca="false">IF($A40="","",IF(AND(E40&gt;0,OR(S40&gt;=0.85,AND(Y40&gt;=75,O40&gt;=8,E40&gt;=D40,S40&gt;=0.7))),"Sim","Não"))</f>
        <v/>
      </c>
      <c r="AC40" s="21" t="str">
        <f aca="false">IF($A40="","",IF(AB40="Sim",ROUND(E40*0.25,0),0))</f>
        <v/>
      </c>
    </row>
    <row r="41" customFormat="false" ht="15" hidden="false" customHeight="false" outlineLevel="0" collapsed="false">
      <c r="A41" s="10"/>
      <c r="B41" s="10"/>
      <c r="C41" s="10"/>
      <c r="D41" s="11"/>
      <c r="E41" s="11"/>
      <c r="F41" s="11"/>
      <c r="G41" s="11"/>
      <c r="H41" s="11"/>
      <c r="I41" s="11"/>
      <c r="J41" s="10"/>
      <c r="K41" s="11"/>
      <c r="L41" s="11"/>
      <c r="M41" s="11"/>
      <c r="N41" s="11"/>
      <c r="O41" s="11"/>
      <c r="P41" s="10"/>
      <c r="Q41" s="10"/>
      <c r="R41" s="11"/>
      <c r="S41" s="12" t="str">
        <f aca="false">IF($A41="","",IF(F41=0,0,G41/F41))</f>
        <v/>
      </c>
      <c r="T41" s="13" t="str">
        <f aca="false">IF($A41="","",MEDIAN(0,0.6*(S41*100)+0.4*H41,100))</f>
        <v/>
      </c>
      <c r="U41" s="13" t="str">
        <f aca="false">IF($A41="","",MEDIAN(0,IF(J41="Sim",45,0)+MEDIAN(0,K41*10,30)+MEDIAN(0,25-I41/3,25),100))</f>
        <v/>
      </c>
      <c r="V41" s="13" t="str">
        <f aca="false">IF($A41="","",MEDIAN(0,0.5*N41+0.3*MEDIAN(0,100-L41*12,100)+0.2*MEDIAN(0,100-M41*40,100),100))</f>
        <v/>
      </c>
      <c r="W41" s="13" t="str">
        <f aca="false">IF($A41="","",MEDIAN(0,IF(P41="Em dia",60,20)+IF(E41&gt;=D41,40,IF(E41&gt;=D41*0.85,20,0)),100))</f>
        <v/>
      </c>
      <c r="X41" s="13" t="str">
        <f aca="false">IF($A41="","",MEDIAN(0,(O41+100)/2,100))</f>
        <v/>
      </c>
      <c r="Y41" s="14" t="str">
        <f aca="false">IF($A41="","",ROUND(0.35*T41+0.2*U41+0.2*V41+0.15*W41+0.1*X41,0))</f>
        <v/>
      </c>
      <c r="Z41" s="14" t="str">
        <f aca="false">IF($A41="","",ROUND(MEDIAN(0,(1-S41)*25+IF(H41&lt;40,15,IF(H41&lt;60,7,0))+IF(J41="Sim",0,18)+IF(K41&lt;=1,10,0)+MEDIAN(0,I41/4,18)+M41*8+IF(E41&lt;D41,12,0)+IF(P41="Atrasado",10,0)+IF(O41&lt;0,8,0),100),0))</f>
        <v/>
      </c>
      <c r="AA41" s="13" t="str">
        <f aca="false">IF(N41="","",IF(OR(E41=0,Y41&lt;45,Z41&gt;=65,AND(R41&lt;=60,Y41&lt;60,E41&gt;0)),"Vermelho",IF(OR(AND(Y41&gt;=45,Y41&lt;70),AND(Z41&gt;=45,Z41&lt;65)),"Amarelo","Verde")))</f>
        <v/>
      </c>
      <c r="AB41" s="13" t="str">
        <f aca="false">IF($A41="","",IF(AND(E41&gt;0,OR(S41&gt;=0.85,AND(Y41&gt;=75,O41&gt;=8,E41&gt;=D41,S41&gt;=0.7))),"Sim","Não"))</f>
        <v/>
      </c>
      <c r="AC41" s="15" t="str">
        <f aca="false">IF($A41="","",IF(AB41="Sim",ROUND(E41*0.25,0),0))</f>
        <v/>
      </c>
    </row>
    <row r="42" customFormat="false" ht="15" hidden="false" customHeight="false" outlineLevel="0" collapsed="false">
      <c r="A42" s="16"/>
      <c r="B42" s="16"/>
      <c r="C42" s="16"/>
      <c r="D42" s="17"/>
      <c r="E42" s="17"/>
      <c r="F42" s="17"/>
      <c r="G42" s="17"/>
      <c r="H42" s="17"/>
      <c r="I42" s="17"/>
      <c r="J42" s="16"/>
      <c r="K42" s="17"/>
      <c r="L42" s="17"/>
      <c r="M42" s="17"/>
      <c r="N42" s="17"/>
      <c r="O42" s="17"/>
      <c r="P42" s="16"/>
      <c r="Q42" s="16"/>
      <c r="R42" s="17"/>
      <c r="S42" s="18" t="str">
        <f aca="false">IF($A42="","",IF(F42=0,0,G42/F42))</f>
        <v/>
      </c>
      <c r="T42" s="19" t="str">
        <f aca="false">IF($A42="","",MEDIAN(0,0.6*(S42*100)+0.4*H42,100))</f>
        <v/>
      </c>
      <c r="U42" s="19" t="str">
        <f aca="false">IF($A42="","",MEDIAN(0,IF(J42="Sim",45,0)+MEDIAN(0,K42*10,30)+MEDIAN(0,25-I42/3,25),100))</f>
        <v/>
      </c>
      <c r="V42" s="19" t="str">
        <f aca="false">IF($A42="","",MEDIAN(0,0.5*N42+0.3*MEDIAN(0,100-L42*12,100)+0.2*MEDIAN(0,100-M42*40,100),100))</f>
        <v/>
      </c>
      <c r="W42" s="19" t="str">
        <f aca="false">IF($A42="","",MEDIAN(0,IF(P42="Em dia",60,20)+IF(E42&gt;=D42,40,IF(E42&gt;=D42*0.85,20,0)),100))</f>
        <v/>
      </c>
      <c r="X42" s="19" t="str">
        <f aca="false">IF($A42="","",MEDIAN(0,(O42+100)/2,100))</f>
        <v/>
      </c>
      <c r="Y42" s="20" t="str">
        <f aca="false">IF($A42="","",ROUND(0.35*T42+0.2*U42+0.2*V42+0.15*W42+0.1*X42,0))</f>
        <v/>
      </c>
      <c r="Z42" s="20" t="str">
        <f aca="false">IF($A42="","",ROUND(MEDIAN(0,(1-S42)*25+IF(H42&lt;40,15,IF(H42&lt;60,7,0))+IF(J42="Sim",0,18)+IF(K42&lt;=1,10,0)+MEDIAN(0,I42/4,18)+M42*8+IF(E42&lt;D42,12,0)+IF(P42="Atrasado",10,0)+IF(O42&lt;0,8,0),100),0))</f>
        <v/>
      </c>
      <c r="AA42" s="19" t="str">
        <f aca="false">IF(N42="","",IF(OR(E42=0,Y42&lt;45,Z42&gt;=65,AND(R42&lt;=60,Y42&lt;60,E42&gt;0)),"Vermelho",IF(OR(AND(Y42&gt;=45,Y42&lt;70),AND(Z42&gt;=45,Z42&lt;65)),"Amarelo","Verde")))</f>
        <v/>
      </c>
      <c r="AB42" s="19" t="str">
        <f aca="false">IF($A42="","",IF(AND(E42&gt;0,OR(S42&gt;=0.85,AND(Y42&gt;=75,O42&gt;=8,E42&gt;=D42,S42&gt;=0.7))),"Sim","Não"))</f>
        <v/>
      </c>
      <c r="AC42" s="21" t="str">
        <f aca="false">IF($A42="","",IF(AB42="Sim",ROUND(E42*0.25,0),0))</f>
        <v/>
      </c>
    </row>
    <row r="43" customFormat="false" ht="15" hidden="false" customHeight="false" outlineLevel="0" collapsed="false">
      <c r="A43" s="10"/>
      <c r="B43" s="10"/>
      <c r="C43" s="10"/>
      <c r="D43" s="11"/>
      <c r="E43" s="11"/>
      <c r="F43" s="11"/>
      <c r="G43" s="11"/>
      <c r="H43" s="11"/>
      <c r="I43" s="11"/>
      <c r="J43" s="10"/>
      <c r="K43" s="11"/>
      <c r="L43" s="11"/>
      <c r="M43" s="11"/>
      <c r="N43" s="11"/>
      <c r="O43" s="11"/>
      <c r="P43" s="10"/>
      <c r="Q43" s="10"/>
      <c r="R43" s="11"/>
      <c r="S43" s="12" t="str">
        <f aca="false">IF($A43="","",IF(F43=0,0,G43/F43))</f>
        <v/>
      </c>
      <c r="T43" s="13" t="str">
        <f aca="false">IF($A43="","",MEDIAN(0,0.6*(S43*100)+0.4*H43,100))</f>
        <v/>
      </c>
      <c r="U43" s="13" t="str">
        <f aca="false">IF($A43="","",MEDIAN(0,IF(J43="Sim",45,0)+MEDIAN(0,K43*10,30)+MEDIAN(0,25-I43/3,25),100))</f>
        <v/>
      </c>
      <c r="V43" s="13" t="str">
        <f aca="false">IF($A43="","",MEDIAN(0,0.5*N43+0.3*MEDIAN(0,100-L43*12,100)+0.2*MEDIAN(0,100-M43*40,100),100))</f>
        <v/>
      </c>
      <c r="W43" s="13" t="str">
        <f aca="false">IF($A43="","",MEDIAN(0,IF(P43="Em dia",60,20)+IF(E43&gt;=D43,40,IF(E43&gt;=D43*0.85,20,0)),100))</f>
        <v/>
      </c>
      <c r="X43" s="13" t="str">
        <f aca="false">IF($A43="","",MEDIAN(0,(O43+100)/2,100))</f>
        <v/>
      </c>
      <c r="Y43" s="14" t="str">
        <f aca="false">IF($A43="","",ROUND(0.35*T43+0.2*U43+0.2*V43+0.15*W43+0.1*X43,0))</f>
        <v/>
      </c>
      <c r="Z43" s="14" t="str">
        <f aca="false">IF($A43="","",ROUND(MEDIAN(0,(1-S43)*25+IF(H43&lt;40,15,IF(H43&lt;60,7,0))+IF(J43="Sim",0,18)+IF(K43&lt;=1,10,0)+MEDIAN(0,I43/4,18)+M43*8+IF(E43&lt;D43,12,0)+IF(P43="Atrasado",10,0)+IF(O43&lt;0,8,0),100),0))</f>
        <v/>
      </c>
      <c r="AA43" s="13" t="str">
        <f aca="false">IF(N43="","",IF(OR(E43=0,Y43&lt;45,Z43&gt;=65,AND(R43&lt;=60,Y43&lt;60,E43&gt;0)),"Vermelho",IF(OR(AND(Y43&gt;=45,Y43&lt;70),AND(Z43&gt;=45,Z43&lt;65)),"Amarelo","Verde")))</f>
        <v/>
      </c>
      <c r="AB43" s="13" t="str">
        <f aca="false">IF($A43="","",IF(AND(E43&gt;0,OR(S43&gt;=0.85,AND(Y43&gt;=75,O43&gt;=8,E43&gt;=D43,S43&gt;=0.7))),"Sim","Não"))</f>
        <v/>
      </c>
      <c r="AC43" s="15" t="str">
        <f aca="false">IF($A43="","",IF(AB43="Sim",ROUND(E43*0.25,0),0))</f>
        <v/>
      </c>
    </row>
    <row r="44" customFormat="false" ht="15" hidden="false" customHeight="false" outlineLevel="0" collapsed="false">
      <c r="A44" s="16"/>
      <c r="B44" s="16"/>
      <c r="C44" s="16"/>
      <c r="D44" s="17"/>
      <c r="E44" s="17"/>
      <c r="F44" s="17"/>
      <c r="G44" s="17"/>
      <c r="H44" s="17"/>
      <c r="I44" s="17"/>
      <c r="J44" s="16"/>
      <c r="K44" s="17"/>
      <c r="L44" s="17"/>
      <c r="M44" s="17"/>
      <c r="N44" s="17"/>
      <c r="O44" s="17"/>
      <c r="P44" s="16"/>
      <c r="Q44" s="16"/>
      <c r="R44" s="17"/>
      <c r="S44" s="18" t="str">
        <f aca="false">IF($A44="","",IF(F44=0,0,G44/F44))</f>
        <v/>
      </c>
      <c r="T44" s="19" t="str">
        <f aca="false">IF($A44="","",MEDIAN(0,0.6*(S44*100)+0.4*H44,100))</f>
        <v/>
      </c>
      <c r="U44" s="19" t="str">
        <f aca="false">IF($A44="","",MEDIAN(0,IF(J44="Sim",45,0)+MEDIAN(0,K44*10,30)+MEDIAN(0,25-I44/3,25),100))</f>
        <v/>
      </c>
      <c r="V44" s="19" t="str">
        <f aca="false">IF($A44="","",MEDIAN(0,0.5*N44+0.3*MEDIAN(0,100-L44*12,100)+0.2*MEDIAN(0,100-M44*40,100),100))</f>
        <v/>
      </c>
      <c r="W44" s="19" t="str">
        <f aca="false">IF($A44="","",MEDIAN(0,IF(P44="Em dia",60,20)+IF(E44&gt;=D44,40,IF(E44&gt;=D44*0.85,20,0)),100))</f>
        <v/>
      </c>
      <c r="X44" s="19" t="str">
        <f aca="false">IF($A44="","",MEDIAN(0,(O44+100)/2,100))</f>
        <v/>
      </c>
      <c r="Y44" s="20" t="str">
        <f aca="false">IF($A44="","",ROUND(0.35*T44+0.2*U44+0.2*V44+0.15*W44+0.1*X44,0))</f>
        <v/>
      </c>
      <c r="Z44" s="20" t="str">
        <f aca="false">IF($A44="","",ROUND(MEDIAN(0,(1-S44)*25+IF(H44&lt;40,15,IF(H44&lt;60,7,0))+IF(J44="Sim",0,18)+IF(K44&lt;=1,10,0)+MEDIAN(0,I44/4,18)+M44*8+IF(E44&lt;D44,12,0)+IF(P44="Atrasado",10,0)+IF(O44&lt;0,8,0),100),0))</f>
        <v/>
      </c>
      <c r="AA44" s="19" t="str">
        <f aca="false">IF(N44="","",IF(OR(E44=0,Y44&lt;45,Z44&gt;=65,AND(R44&lt;=60,Y44&lt;60,E44&gt;0)),"Vermelho",IF(OR(AND(Y44&gt;=45,Y44&lt;70),AND(Z44&gt;=45,Z44&lt;65)),"Amarelo","Verde")))</f>
        <v/>
      </c>
      <c r="AB44" s="19" t="str">
        <f aca="false">IF($A44="","",IF(AND(E44&gt;0,OR(S44&gt;=0.85,AND(Y44&gt;=75,O44&gt;=8,E44&gt;=D44,S44&gt;=0.7))),"Sim","Não"))</f>
        <v/>
      </c>
      <c r="AC44" s="21" t="str">
        <f aca="false">IF($A44="","",IF(AB44="Sim",ROUND(E44*0.25,0),0))</f>
        <v/>
      </c>
    </row>
    <row r="45" customFormat="false" ht="15" hidden="false" customHeight="false" outlineLevel="0" collapsed="false">
      <c r="A45" s="10"/>
      <c r="B45" s="10"/>
      <c r="C45" s="10"/>
      <c r="D45" s="11"/>
      <c r="E45" s="11"/>
      <c r="F45" s="11"/>
      <c r="G45" s="11"/>
      <c r="H45" s="11"/>
      <c r="I45" s="11"/>
      <c r="J45" s="10"/>
      <c r="K45" s="11"/>
      <c r="L45" s="11"/>
      <c r="M45" s="11"/>
      <c r="N45" s="11"/>
      <c r="O45" s="11"/>
      <c r="P45" s="10"/>
      <c r="Q45" s="10"/>
      <c r="R45" s="11"/>
      <c r="S45" s="12" t="str">
        <f aca="false">IF($A45="","",IF(F45=0,0,G45/F45))</f>
        <v/>
      </c>
      <c r="T45" s="13" t="str">
        <f aca="false">IF($A45="","",MEDIAN(0,0.6*(S45*100)+0.4*H45,100))</f>
        <v/>
      </c>
      <c r="U45" s="13" t="str">
        <f aca="false">IF($A45="","",MEDIAN(0,IF(J45="Sim",45,0)+MEDIAN(0,K45*10,30)+MEDIAN(0,25-I45/3,25),100))</f>
        <v/>
      </c>
      <c r="V45" s="13" t="str">
        <f aca="false">IF($A45="","",MEDIAN(0,0.5*N45+0.3*MEDIAN(0,100-L45*12,100)+0.2*MEDIAN(0,100-M45*40,100),100))</f>
        <v/>
      </c>
      <c r="W45" s="13" t="str">
        <f aca="false">IF($A45="","",MEDIAN(0,IF(P45="Em dia",60,20)+IF(E45&gt;=D45,40,IF(E45&gt;=D45*0.85,20,0)),100))</f>
        <v/>
      </c>
      <c r="X45" s="13" t="str">
        <f aca="false">IF($A45="","",MEDIAN(0,(O45+100)/2,100))</f>
        <v/>
      </c>
      <c r="Y45" s="14" t="str">
        <f aca="false">IF($A45="","",ROUND(0.35*T45+0.2*U45+0.2*V45+0.15*W45+0.1*X45,0))</f>
        <v/>
      </c>
      <c r="Z45" s="14" t="str">
        <f aca="false">IF($A45="","",ROUND(MEDIAN(0,(1-S45)*25+IF(H45&lt;40,15,IF(H45&lt;60,7,0))+IF(J45="Sim",0,18)+IF(K45&lt;=1,10,0)+MEDIAN(0,I45/4,18)+M45*8+IF(E45&lt;D45,12,0)+IF(P45="Atrasado",10,0)+IF(O45&lt;0,8,0),100),0))</f>
        <v/>
      </c>
      <c r="AA45" s="13" t="str">
        <f aca="false">IF(N45="","",IF(OR(E45=0,Y45&lt;45,Z45&gt;=65,AND(R45&lt;=60,Y45&lt;60,E45&gt;0)),"Vermelho",IF(OR(AND(Y45&gt;=45,Y45&lt;70),AND(Z45&gt;=45,Z45&lt;65)),"Amarelo","Verde")))</f>
        <v/>
      </c>
      <c r="AB45" s="13" t="str">
        <f aca="false">IF($A45="","",IF(AND(E45&gt;0,OR(S45&gt;=0.85,AND(Y45&gt;=75,O45&gt;=8,E45&gt;=D45,S45&gt;=0.7))),"Sim","Não"))</f>
        <v/>
      </c>
      <c r="AC45" s="15" t="str">
        <f aca="false">IF($A45="","",IF(AB45="Sim",ROUND(E45*0.25,0),0))</f>
        <v/>
      </c>
    </row>
    <row r="46" customFormat="false" ht="15" hidden="false" customHeight="false" outlineLevel="0" collapsed="false">
      <c r="A46" s="16"/>
      <c r="B46" s="16"/>
      <c r="C46" s="16"/>
      <c r="D46" s="17"/>
      <c r="E46" s="17"/>
      <c r="F46" s="17"/>
      <c r="G46" s="17"/>
      <c r="H46" s="17"/>
      <c r="I46" s="17"/>
      <c r="J46" s="16"/>
      <c r="K46" s="17"/>
      <c r="L46" s="17"/>
      <c r="M46" s="17"/>
      <c r="N46" s="17"/>
      <c r="O46" s="17"/>
      <c r="P46" s="16"/>
      <c r="Q46" s="16"/>
      <c r="R46" s="17"/>
      <c r="S46" s="18" t="str">
        <f aca="false">IF($A46="","",IF(F46=0,0,G46/F46))</f>
        <v/>
      </c>
      <c r="T46" s="19" t="str">
        <f aca="false">IF($A46="","",MEDIAN(0,0.6*(S46*100)+0.4*H46,100))</f>
        <v/>
      </c>
      <c r="U46" s="19" t="str">
        <f aca="false">IF($A46="","",MEDIAN(0,IF(J46="Sim",45,0)+MEDIAN(0,K46*10,30)+MEDIAN(0,25-I46/3,25),100))</f>
        <v/>
      </c>
      <c r="V46" s="19" t="str">
        <f aca="false">IF($A46="","",MEDIAN(0,0.5*N46+0.3*MEDIAN(0,100-L46*12,100)+0.2*MEDIAN(0,100-M46*40,100),100))</f>
        <v/>
      </c>
      <c r="W46" s="19" t="str">
        <f aca="false">IF($A46="","",MEDIAN(0,IF(P46="Em dia",60,20)+IF(E46&gt;=D46,40,IF(E46&gt;=D46*0.85,20,0)),100))</f>
        <v/>
      </c>
      <c r="X46" s="19" t="str">
        <f aca="false">IF($A46="","",MEDIAN(0,(O46+100)/2,100))</f>
        <v/>
      </c>
      <c r="Y46" s="20" t="str">
        <f aca="false">IF($A46="","",ROUND(0.35*T46+0.2*U46+0.2*V46+0.15*W46+0.1*X46,0))</f>
        <v/>
      </c>
      <c r="Z46" s="20" t="str">
        <f aca="false">IF($A46="","",ROUND(MEDIAN(0,(1-S46)*25+IF(H46&lt;40,15,IF(H46&lt;60,7,0))+IF(J46="Sim",0,18)+IF(K46&lt;=1,10,0)+MEDIAN(0,I46/4,18)+M46*8+IF(E46&lt;D46,12,0)+IF(P46="Atrasado",10,0)+IF(O46&lt;0,8,0),100),0))</f>
        <v/>
      </c>
      <c r="AA46" s="19" t="str">
        <f aca="false">IF(N46="","",IF(OR(E46=0,Y46&lt;45,Z46&gt;=65,AND(R46&lt;=60,Y46&lt;60,E46&gt;0)),"Vermelho",IF(OR(AND(Y46&gt;=45,Y46&lt;70),AND(Z46&gt;=45,Z46&lt;65)),"Amarelo","Verde")))</f>
        <v/>
      </c>
      <c r="AB46" s="19" t="str">
        <f aca="false">IF($A46="","",IF(AND(E46&gt;0,OR(S46&gt;=0.85,AND(Y46&gt;=75,O46&gt;=8,E46&gt;=D46,S46&gt;=0.7))),"Sim","Não"))</f>
        <v/>
      </c>
      <c r="AC46" s="21" t="str">
        <f aca="false">IF($A46="","",IF(AB46="Sim",ROUND(E46*0.25,0),0))</f>
        <v/>
      </c>
    </row>
    <row r="47" customFormat="false" ht="15" hidden="false" customHeight="false" outlineLevel="0" collapsed="false">
      <c r="A47" s="10"/>
      <c r="B47" s="10"/>
      <c r="C47" s="10"/>
      <c r="D47" s="11"/>
      <c r="E47" s="11"/>
      <c r="F47" s="11"/>
      <c r="G47" s="11"/>
      <c r="H47" s="11"/>
      <c r="I47" s="11"/>
      <c r="J47" s="10"/>
      <c r="K47" s="11"/>
      <c r="L47" s="11"/>
      <c r="M47" s="11"/>
      <c r="N47" s="11"/>
      <c r="O47" s="11"/>
      <c r="P47" s="10"/>
      <c r="Q47" s="10"/>
      <c r="R47" s="11"/>
      <c r="S47" s="12" t="str">
        <f aca="false">IF($A47="","",IF(F47=0,0,G47/F47))</f>
        <v/>
      </c>
      <c r="T47" s="13" t="str">
        <f aca="false">IF($A47="","",MEDIAN(0,0.6*(S47*100)+0.4*H47,100))</f>
        <v/>
      </c>
      <c r="U47" s="13" t="str">
        <f aca="false">IF($A47="","",MEDIAN(0,IF(J47="Sim",45,0)+MEDIAN(0,K47*10,30)+MEDIAN(0,25-I47/3,25),100))</f>
        <v/>
      </c>
      <c r="V47" s="13" t="str">
        <f aca="false">IF($A47="","",MEDIAN(0,0.5*N47+0.3*MEDIAN(0,100-L47*12,100)+0.2*MEDIAN(0,100-M47*40,100),100))</f>
        <v/>
      </c>
      <c r="W47" s="13" t="str">
        <f aca="false">IF($A47="","",MEDIAN(0,IF(P47="Em dia",60,20)+IF(E47&gt;=D47,40,IF(E47&gt;=D47*0.85,20,0)),100))</f>
        <v/>
      </c>
      <c r="X47" s="13" t="str">
        <f aca="false">IF($A47="","",MEDIAN(0,(O47+100)/2,100))</f>
        <v/>
      </c>
      <c r="Y47" s="14" t="str">
        <f aca="false">IF($A47="","",ROUND(0.35*T47+0.2*U47+0.2*V47+0.15*W47+0.1*X47,0))</f>
        <v/>
      </c>
      <c r="Z47" s="14" t="str">
        <f aca="false">IF($A47="","",ROUND(MEDIAN(0,(1-S47)*25+IF(H47&lt;40,15,IF(H47&lt;60,7,0))+IF(J47="Sim",0,18)+IF(K47&lt;=1,10,0)+MEDIAN(0,I47/4,18)+M47*8+IF(E47&lt;D47,12,0)+IF(P47="Atrasado",10,0)+IF(O47&lt;0,8,0),100),0))</f>
        <v/>
      </c>
      <c r="AA47" s="13" t="str">
        <f aca="false">IF(N47="","",IF(OR(E47=0,Y47&lt;45,Z47&gt;=65,AND(R47&lt;=60,Y47&lt;60,E47&gt;0)),"Vermelho",IF(OR(AND(Y47&gt;=45,Y47&lt;70),AND(Z47&gt;=45,Z47&lt;65)),"Amarelo","Verde")))</f>
        <v/>
      </c>
      <c r="AB47" s="13" t="str">
        <f aca="false">IF($A47="","",IF(AND(E47&gt;0,OR(S47&gt;=0.85,AND(Y47&gt;=75,O47&gt;=8,E47&gt;=D47,S47&gt;=0.7))),"Sim","Não"))</f>
        <v/>
      </c>
      <c r="AC47" s="15" t="str">
        <f aca="false">IF($A47="","",IF(AB47="Sim",ROUND(E47*0.25,0),0))</f>
        <v/>
      </c>
    </row>
    <row r="48" customFormat="false" ht="15" hidden="false" customHeight="false" outlineLevel="0" collapsed="false">
      <c r="A48" s="16"/>
      <c r="B48" s="16"/>
      <c r="C48" s="16"/>
      <c r="D48" s="17"/>
      <c r="E48" s="17"/>
      <c r="F48" s="17"/>
      <c r="G48" s="17"/>
      <c r="H48" s="17"/>
      <c r="I48" s="17"/>
      <c r="J48" s="16"/>
      <c r="K48" s="17"/>
      <c r="L48" s="17"/>
      <c r="M48" s="17"/>
      <c r="N48" s="17"/>
      <c r="O48" s="17"/>
      <c r="P48" s="16"/>
      <c r="Q48" s="16"/>
      <c r="R48" s="17"/>
      <c r="S48" s="18" t="str">
        <f aca="false">IF($A48="","",IF(F48=0,0,G48/F48))</f>
        <v/>
      </c>
      <c r="T48" s="19" t="str">
        <f aca="false">IF($A48="","",MEDIAN(0,0.6*(S48*100)+0.4*H48,100))</f>
        <v/>
      </c>
      <c r="U48" s="19" t="str">
        <f aca="false">IF($A48="","",MEDIAN(0,IF(J48="Sim",45,0)+MEDIAN(0,K48*10,30)+MEDIAN(0,25-I48/3,25),100))</f>
        <v/>
      </c>
      <c r="V48" s="19" t="str">
        <f aca="false">IF($A48="","",MEDIAN(0,0.5*N48+0.3*MEDIAN(0,100-L48*12,100)+0.2*MEDIAN(0,100-M48*40,100),100))</f>
        <v/>
      </c>
      <c r="W48" s="19" t="str">
        <f aca="false">IF($A48="","",MEDIAN(0,IF(P48="Em dia",60,20)+IF(E48&gt;=D48,40,IF(E48&gt;=D48*0.85,20,0)),100))</f>
        <v/>
      </c>
      <c r="X48" s="19" t="str">
        <f aca="false">IF($A48="","",MEDIAN(0,(O48+100)/2,100))</f>
        <v/>
      </c>
      <c r="Y48" s="20" t="str">
        <f aca="false">IF($A48="","",ROUND(0.35*T48+0.2*U48+0.2*V48+0.15*W48+0.1*X48,0))</f>
        <v/>
      </c>
      <c r="Z48" s="20" t="str">
        <f aca="false">IF($A48="","",ROUND(MEDIAN(0,(1-S48)*25+IF(H48&lt;40,15,IF(H48&lt;60,7,0))+IF(J48="Sim",0,18)+IF(K48&lt;=1,10,0)+MEDIAN(0,I48/4,18)+M48*8+IF(E48&lt;D48,12,0)+IF(P48="Atrasado",10,0)+IF(O48&lt;0,8,0),100),0))</f>
        <v/>
      </c>
      <c r="AA48" s="19" t="str">
        <f aca="false">IF(N48="","",IF(OR(E48=0,Y48&lt;45,Z48&gt;=65,AND(R48&lt;=60,Y48&lt;60,E48&gt;0)),"Vermelho",IF(OR(AND(Y48&gt;=45,Y48&lt;70),AND(Z48&gt;=45,Z48&lt;65)),"Amarelo","Verde")))</f>
        <v/>
      </c>
      <c r="AB48" s="19" t="str">
        <f aca="false">IF($A48="","",IF(AND(E48&gt;0,OR(S48&gt;=0.85,AND(Y48&gt;=75,O48&gt;=8,E48&gt;=D48,S48&gt;=0.7))),"Sim","Não"))</f>
        <v/>
      </c>
      <c r="AC48" s="21" t="str">
        <f aca="false">IF($A48="","",IF(AB48="Sim",ROUND(E48*0.25,0),0))</f>
        <v/>
      </c>
    </row>
    <row r="49" customFormat="false" ht="15" hidden="false" customHeight="false" outlineLevel="0" collapsed="false">
      <c r="A49" s="10"/>
      <c r="B49" s="10"/>
      <c r="C49" s="10"/>
      <c r="D49" s="11"/>
      <c r="E49" s="11"/>
      <c r="F49" s="11"/>
      <c r="G49" s="11"/>
      <c r="H49" s="11"/>
      <c r="I49" s="11"/>
      <c r="J49" s="10"/>
      <c r="K49" s="11"/>
      <c r="L49" s="11"/>
      <c r="M49" s="11"/>
      <c r="N49" s="11"/>
      <c r="O49" s="11"/>
      <c r="P49" s="10"/>
      <c r="Q49" s="10"/>
      <c r="R49" s="11"/>
      <c r="S49" s="12" t="str">
        <f aca="false">IF($A49="","",IF(F49=0,0,G49/F49))</f>
        <v/>
      </c>
      <c r="T49" s="13" t="str">
        <f aca="false">IF($A49="","",MEDIAN(0,0.6*(S49*100)+0.4*H49,100))</f>
        <v/>
      </c>
      <c r="U49" s="13" t="str">
        <f aca="false">IF($A49="","",MEDIAN(0,IF(J49="Sim",45,0)+MEDIAN(0,K49*10,30)+MEDIAN(0,25-I49/3,25),100))</f>
        <v/>
      </c>
      <c r="V49" s="13" t="str">
        <f aca="false">IF($A49="","",MEDIAN(0,0.5*N49+0.3*MEDIAN(0,100-L49*12,100)+0.2*MEDIAN(0,100-M49*40,100),100))</f>
        <v/>
      </c>
      <c r="W49" s="13" t="str">
        <f aca="false">IF($A49="","",MEDIAN(0,IF(P49="Em dia",60,20)+IF(E49&gt;=D49,40,IF(E49&gt;=D49*0.85,20,0)),100))</f>
        <v/>
      </c>
      <c r="X49" s="13" t="str">
        <f aca="false">IF($A49="","",MEDIAN(0,(O49+100)/2,100))</f>
        <v/>
      </c>
      <c r="Y49" s="14" t="str">
        <f aca="false">IF($A49="","",ROUND(0.35*T49+0.2*U49+0.2*V49+0.15*W49+0.1*X49,0))</f>
        <v/>
      </c>
      <c r="Z49" s="14" t="str">
        <f aca="false">IF($A49="","",ROUND(MEDIAN(0,(1-S49)*25+IF(H49&lt;40,15,IF(H49&lt;60,7,0))+IF(J49="Sim",0,18)+IF(K49&lt;=1,10,0)+MEDIAN(0,I49/4,18)+M49*8+IF(E49&lt;D49,12,0)+IF(P49="Atrasado",10,0)+IF(O49&lt;0,8,0),100),0))</f>
        <v/>
      </c>
      <c r="AA49" s="13" t="str">
        <f aca="false">IF(N49="","",IF(OR(E49=0,Y49&lt;45,Z49&gt;=65,AND(R49&lt;=60,Y49&lt;60,E49&gt;0)),"Vermelho",IF(OR(AND(Y49&gt;=45,Y49&lt;70),AND(Z49&gt;=45,Z49&lt;65)),"Amarelo","Verde")))</f>
        <v/>
      </c>
      <c r="AB49" s="13" t="str">
        <f aca="false">IF($A49="","",IF(AND(E49&gt;0,OR(S49&gt;=0.85,AND(Y49&gt;=75,O49&gt;=8,E49&gt;=D49,S49&gt;=0.7))),"Sim","Não"))</f>
        <v/>
      </c>
      <c r="AC49" s="15" t="str">
        <f aca="false">IF($A49="","",IF(AB49="Sim",ROUND(E49*0.25,0),0))</f>
        <v/>
      </c>
    </row>
    <row r="50" customFormat="false" ht="15" hidden="false" customHeight="false" outlineLevel="0" collapsed="false">
      <c r="A50" s="16"/>
      <c r="B50" s="16"/>
      <c r="C50" s="16"/>
      <c r="D50" s="17"/>
      <c r="E50" s="17"/>
      <c r="F50" s="17"/>
      <c r="G50" s="17"/>
      <c r="H50" s="17"/>
      <c r="I50" s="17"/>
      <c r="J50" s="16"/>
      <c r="K50" s="17"/>
      <c r="L50" s="17"/>
      <c r="M50" s="17"/>
      <c r="N50" s="17"/>
      <c r="O50" s="17"/>
      <c r="P50" s="16"/>
      <c r="Q50" s="16"/>
      <c r="R50" s="17"/>
      <c r="S50" s="18" t="str">
        <f aca="false">IF($A50="","",IF(F50=0,0,G50/F50))</f>
        <v/>
      </c>
      <c r="T50" s="19" t="str">
        <f aca="false">IF($A50="","",MEDIAN(0,0.6*(S50*100)+0.4*H50,100))</f>
        <v/>
      </c>
      <c r="U50" s="19" t="str">
        <f aca="false">IF($A50="","",MEDIAN(0,IF(J50="Sim",45,0)+MEDIAN(0,K50*10,30)+MEDIAN(0,25-I50/3,25),100))</f>
        <v/>
      </c>
      <c r="V50" s="19" t="str">
        <f aca="false">IF($A50="","",MEDIAN(0,0.5*N50+0.3*MEDIAN(0,100-L50*12,100)+0.2*MEDIAN(0,100-M50*40,100),100))</f>
        <v/>
      </c>
      <c r="W50" s="19" t="str">
        <f aca="false">IF($A50="","",MEDIAN(0,IF(P50="Em dia",60,20)+IF(E50&gt;=D50,40,IF(E50&gt;=D50*0.85,20,0)),100))</f>
        <v/>
      </c>
      <c r="X50" s="19" t="str">
        <f aca="false">IF($A50="","",MEDIAN(0,(O50+100)/2,100))</f>
        <v/>
      </c>
      <c r="Y50" s="20" t="str">
        <f aca="false">IF($A50="","",ROUND(0.35*T50+0.2*U50+0.2*V50+0.15*W50+0.1*X50,0))</f>
        <v/>
      </c>
      <c r="Z50" s="20" t="str">
        <f aca="false">IF($A50="","",ROUND(MEDIAN(0,(1-S50)*25+IF(H50&lt;40,15,IF(H50&lt;60,7,0))+IF(J50="Sim",0,18)+IF(K50&lt;=1,10,0)+MEDIAN(0,I50/4,18)+M50*8+IF(E50&lt;D50,12,0)+IF(P50="Atrasado",10,0)+IF(O50&lt;0,8,0),100),0))</f>
        <v/>
      </c>
      <c r="AA50" s="19" t="str">
        <f aca="false">IF(N50="","",IF(OR(E50=0,Y50&lt;45,Z50&gt;=65,AND(R50&lt;=60,Y50&lt;60,E50&gt;0)),"Vermelho",IF(OR(AND(Y50&gt;=45,Y50&lt;70),AND(Z50&gt;=45,Z50&lt;65)),"Amarelo","Verde")))</f>
        <v/>
      </c>
      <c r="AB50" s="19" t="str">
        <f aca="false">IF($A50="","",IF(AND(E50&gt;0,OR(S50&gt;=0.85,AND(Y50&gt;=75,O50&gt;=8,E50&gt;=D50,S50&gt;=0.7))),"Sim","Não"))</f>
        <v/>
      </c>
      <c r="AC50" s="21" t="str">
        <f aca="false">IF($A50="","",IF(AB50="Sim",ROUND(E50*0.25,0),0))</f>
        <v/>
      </c>
    </row>
    <row r="51" customFormat="false" ht="15" hidden="false" customHeight="false" outlineLevel="0" collapsed="false">
      <c r="A51" s="10"/>
      <c r="B51" s="10"/>
      <c r="C51" s="10"/>
      <c r="D51" s="11"/>
      <c r="E51" s="11"/>
      <c r="F51" s="11"/>
      <c r="G51" s="11"/>
      <c r="H51" s="11"/>
      <c r="I51" s="11"/>
      <c r="J51" s="10"/>
      <c r="K51" s="11"/>
      <c r="L51" s="11"/>
      <c r="M51" s="11"/>
      <c r="N51" s="11"/>
      <c r="O51" s="11"/>
      <c r="P51" s="10"/>
      <c r="Q51" s="10"/>
      <c r="R51" s="11"/>
      <c r="S51" s="12" t="str">
        <f aca="false">IF($A51="","",IF(F51=0,0,G51/F51))</f>
        <v/>
      </c>
      <c r="T51" s="13" t="str">
        <f aca="false">IF($A51="","",MEDIAN(0,0.6*(S51*100)+0.4*H51,100))</f>
        <v/>
      </c>
      <c r="U51" s="13" t="str">
        <f aca="false">IF($A51="","",MEDIAN(0,IF(J51="Sim",45,0)+MEDIAN(0,K51*10,30)+MEDIAN(0,25-I51/3,25),100))</f>
        <v/>
      </c>
      <c r="V51" s="13" t="str">
        <f aca="false">IF($A51="","",MEDIAN(0,0.5*N51+0.3*MEDIAN(0,100-L51*12,100)+0.2*MEDIAN(0,100-M51*40,100),100))</f>
        <v/>
      </c>
      <c r="W51" s="13" t="str">
        <f aca="false">IF($A51="","",MEDIAN(0,IF(P51="Em dia",60,20)+IF(E51&gt;=D51,40,IF(E51&gt;=D51*0.85,20,0)),100))</f>
        <v/>
      </c>
      <c r="X51" s="13" t="str">
        <f aca="false">IF($A51="","",MEDIAN(0,(O51+100)/2,100))</f>
        <v/>
      </c>
      <c r="Y51" s="14" t="str">
        <f aca="false">IF($A51="","",ROUND(0.35*T51+0.2*U51+0.2*V51+0.15*W51+0.1*X51,0))</f>
        <v/>
      </c>
      <c r="Z51" s="14" t="str">
        <f aca="false">IF($A51="","",ROUND(MEDIAN(0,(1-S51)*25+IF(H51&lt;40,15,IF(H51&lt;60,7,0))+IF(J51="Sim",0,18)+IF(K51&lt;=1,10,0)+MEDIAN(0,I51/4,18)+M51*8+IF(E51&lt;D51,12,0)+IF(P51="Atrasado",10,0)+IF(O51&lt;0,8,0),100),0))</f>
        <v/>
      </c>
      <c r="AA51" s="13" t="str">
        <f aca="false">IF(N51="","",IF(OR(E51=0,Y51&lt;45,Z51&gt;=65,AND(R51&lt;=60,Y51&lt;60,E51&gt;0)),"Vermelho",IF(OR(AND(Y51&gt;=45,Y51&lt;70),AND(Z51&gt;=45,Z51&lt;65)),"Amarelo","Verde")))</f>
        <v/>
      </c>
      <c r="AB51" s="13" t="str">
        <f aca="false">IF($A51="","",IF(AND(E51&gt;0,OR(S51&gt;=0.85,AND(Y51&gt;=75,O51&gt;=8,E51&gt;=D51,S51&gt;=0.7))),"Sim","Não"))</f>
        <v/>
      </c>
      <c r="AC51" s="15" t="str">
        <f aca="false">IF($A51="","",IF(AB51="Sim",ROUND(E51*0.25,0),0))</f>
        <v/>
      </c>
    </row>
    <row r="52" customFormat="false" ht="15" hidden="false" customHeight="false" outlineLevel="0" collapsed="false">
      <c r="A52" s="16"/>
      <c r="B52" s="16"/>
      <c r="C52" s="16"/>
      <c r="D52" s="17"/>
      <c r="E52" s="17"/>
      <c r="F52" s="17"/>
      <c r="G52" s="17"/>
      <c r="H52" s="17"/>
      <c r="I52" s="17"/>
      <c r="J52" s="16"/>
      <c r="K52" s="17"/>
      <c r="L52" s="17"/>
      <c r="M52" s="17"/>
      <c r="N52" s="17"/>
      <c r="O52" s="17"/>
      <c r="P52" s="16"/>
      <c r="Q52" s="16"/>
      <c r="R52" s="17"/>
      <c r="S52" s="18" t="str">
        <f aca="false">IF($A52="","",IF(F52=0,0,G52/F52))</f>
        <v/>
      </c>
      <c r="T52" s="19" t="str">
        <f aca="false">IF($A52="","",MEDIAN(0,0.6*(S52*100)+0.4*H52,100))</f>
        <v/>
      </c>
      <c r="U52" s="19" t="str">
        <f aca="false">IF($A52="","",MEDIAN(0,IF(J52="Sim",45,0)+MEDIAN(0,K52*10,30)+MEDIAN(0,25-I52/3,25),100))</f>
        <v/>
      </c>
      <c r="V52" s="19" t="str">
        <f aca="false">IF($A52="","",MEDIAN(0,0.5*N52+0.3*MEDIAN(0,100-L52*12,100)+0.2*MEDIAN(0,100-M52*40,100),100))</f>
        <v/>
      </c>
      <c r="W52" s="19" t="str">
        <f aca="false">IF($A52="","",MEDIAN(0,IF(P52="Em dia",60,20)+IF(E52&gt;=D52,40,IF(E52&gt;=D52*0.85,20,0)),100))</f>
        <v/>
      </c>
      <c r="X52" s="19" t="str">
        <f aca="false">IF($A52="","",MEDIAN(0,(O52+100)/2,100))</f>
        <v/>
      </c>
      <c r="Y52" s="20" t="str">
        <f aca="false">IF($A52="","",ROUND(0.35*T52+0.2*U52+0.2*V52+0.15*W52+0.1*X52,0))</f>
        <v/>
      </c>
      <c r="Z52" s="20" t="str">
        <f aca="false">IF($A52="","",ROUND(MEDIAN(0,(1-S52)*25+IF(H52&lt;40,15,IF(H52&lt;60,7,0))+IF(J52="Sim",0,18)+IF(K52&lt;=1,10,0)+MEDIAN(0,I52/4,18)+M52*8+IF(E52&lt;D52,12,0)+IF(P52="Atrasado",10,0)+IF(O52&lt;0,8,0),100),0))</f>
        <v/>
      </c>
      <c r="AA52" s="19" t="str">
        <f aca="false">IF(N52="","",IF(OR(E52=0,Y52&lt;45,Z52&gt;=65,AND(R52&lt;=60,Y52&lt;60,E52&gt;0)),"Vermelho",IF(OR(AND(Y52&gt;=45,Y52&lt;70),AND(Z52&gt;=45,Z52&lt;65)),"Amarelo","Verde")))</f>
        <v/>
      </c>
      <c r="AB52" s="19" t="str">
        <f aca="false">IF($A52="","",IF(AND(E52&gt;0,OR(S52&gt;=0.85,AND(Y52&gt;=75,O52&gt;=8,E52&gt;=D52,S52&gt;=0.7))),"Sim","Não"))</f>
        <v/>
      </c>
      <c r="AC52" s="21" t="str">
        <f aca="false">IF($A52="","",IF(AB52="Sim",ROUND(E52*0.25,0),0))</f>
        <v/>
      </c>
    </row>
    <row r="53" customFormat="false" ht="15" hidden="false" customHeight="false" outlineLevel="0" collapsed="false">
      <c r="A53" s="10"/>
      <c r="B53" s="10"/>
      <c r="C53" s="10"/>
      <c r="D53" s="11"/>
      <c r="E53" s="11"/>
      <c r="F53" s="11"/>
      <c r="G53" s="11"/>
      <c r="H53" s="11"/>
      <c r="I53" s="11"/>
      <c r="J53" s="10"/>
      <c r="K53" s="11"/>
      <c r="L53" s="11"/>
      <c r="M53" s="11"/>
      <c r="N53" s="11"/>
      <c r="O53" s="11"/>
      <c r="P53" s="10"/>
      <c r="Q53" s="10"/>
      <c r="R53" s="11"/>
      <c r="S53" s="12" t="str">
        <f aca="false">IF($A53="","",IF(F53=0,0,G53/F53))</f>
        <v/>
      </c>
      <c r="T53" s="13" t="str">
        <f aca="false">IF($A53="","",MEDIAN(0,0.6*(S53*100)+0.4*H53,100))</f>
        <v/>
      </c>
      <c r="U53" s="13" t="str">
        <f aca="false">IF($A53="","",MEDIAN(0,IF(J53="Sim",45,0)+MEDIAN(0,K53*10,30)+MEDIAN(0,25-I53/3,25),100))</f>
        <v/>
      </c>
      <c r="V53" s="13" t="str">
        <f aca="false">IF($A53="","",MEDIAN(0,0.5*N53+0.3*MEDIAN(0,100-L53*12,100)+0.2*MEDIAN(0,100-M53*40,100),100))</f>
        <v/>
      </c>
      <c r="W53" s="13" t="str">
        <f aca="false">IF($A53="","",MEDIAN(0,IF(P53="Em dia",60,20)+IF(E53&gt;=D53,40,IF(E53&gt;=D53*0.85,20,0)),100))</f>
        <v/>
      </c>
      <c r="X53" s="13" t="str">
        <f aca="false">IF($A53="","",MEDIAN(0,(O53+100)/2,100))</f>
        <v/>
      </c>
      <c r="Y53" s="14" t="str">
        <f aca="false">IF($A53="","",ROUND(0.35*T53+0.2*U53+0.2*V53+0.15*W53+0.1*X53,0))</f>
        <v/>
      </c>
      <c r="Z53" s="14" t="str">
        <f aca="false">IF($A53="","",ROUND(MEDIAN(0,(1-S53)*25+IF(H53&lt;40,15,IF(H53&lt;60,7,0))+IF(J53="Sim",0,18)+IF(K53&lt;=1,10,0)+MEDIAN(0,I53/4,18)+M53*8+IF(E53&lt;D53,12,0)+IF(P53="Atrasado",10,0)+IF(O53&lt;0,8,0),100),0))</f>
        <v/>
      </c>
      <c r="AA53" s="13" t="str">
        <f aca="false">IF(N53="","",IF(OR(E53=0,Y53&lt;45,Z53&gt;=65,AND(R53&lt;=60,Y53&lt;60,E53&gt;0)),"Vermelho",IF(OR(AND(Y53&gt;=45,Y53&lt;70),AND(Z53&gt;=45,Z53&lt;65)),"Amarelo","Verde")))</f>
        <v/>
      </c>
      <c r="AB53" s="13" t="str">
        <f aca="false">IF($A53="","",IF(AND(E53&gt;0,OR(S53&gt;=0.85,AND(Y53&gt;=75,O53&gt;=8,E53&gt;=D53,S53&gt;=0.7))),"Sim","Não"))</f>
        <v/>
      </c>
      <c r="AC53" s="15" t="str">
        <f aca="false">IF($A53="","",IF(AB53="Sim",ROUND(E53*0.25,0),0))</f>
        <v/>
      </c>
    </row>
    <row r="54" customFormat="false" ht="15" hidden="false" customHeight="false" outlineLevel="0" collapsed="false">
      <c r="A54" s="16"/>
      <c r="B54" s="16"/>
      <c r="C54" s="16"/>
      <c r="D54" s="17"/>
      <c r="E54" s="17"/>
      <c r="F54" s="17"/>
      <c r="G54" s="17"/>
      <c r="H54" s="17"/>
      <c r="I54" s="17"/>
      <c r="J54" s="16"/>
      <c r="K54" s="17"/>
      <c r="L54" s="17"/>
      <c r="M54" s="17"/>
      <c r="N54" s="17"/>
      <c r="O54" s="17"/>
      <c r="P54" s="16"/>
      <c r="Q54" s="16"/>
      <c r="R54" s="17"/>
      <c r="S54" s="18" t="str">
        <f aca="false">IF($A54="","",IF(F54=0,0,G54/F54))</f>
        <v/>
      </c>
      <c r="T54" s="19" t="str">
        <f aca="false">IF($A54="","",MEDIAN(0,0.6*(S54*100)+0.4*H54,100))</f>
        <v/>
      </c>
      <c r="U54" s="19" t="str">
        <f aca="false">IF($A54="","",MEDIAN(0,IF(J54="Sim",45,0)+MEDIAN(0,K54*10,30)+MEDIAN(0,25-I54/3,25),100))</f>
        <v/>
      </c>
      <c r="V54" s="19" t="str">
        <f aca="false">IF($A54="","",MEDIAN(0,0.5*N54+0.3*MEDIAN(0,100-L54*12,100)+0.2*MEDIAN(0,100-M54*40,100),100))</f>
        <v/>
      </c>
      <c r="W54" s="19" t="str">
        <f aca="false">IF($A54="","",MEDIAN(0,IF(P54="Em dia",60,20)+IF(E54&gt;=D54,40,IF(E54&gt;=D54*0.85,20,0)),100))</f>
        <v/>
      </c>
      <c r="X54" s="19" t="str">
        <f aca="false">IF($A54="","",MEDIAN(0,(O54+100)/2,100))</f>
        <v/>
      </c>
      <c r="Y54" s="20" t="str">
        <f aca="false">IF($A54="","",ROUND(0.35*T54+0.2*U54+0.2*V54+0.15*W54+0.1*X54,0))</f>
        <v/>
      </c>
      <c r="Z54" s="20" t="str">
        <f aca="false">IF($A54="","",ROUND(MEDIAN(0,(1-S54)*25+IF(H54&lt;40,15,IF(H54&lt;60,7,0))+IF(J54="Sim",0,18)+IF(K54&lt;=1,10,0)+MEDIAN(0,I54/4,18)+M54*8+IF(E54&lt;D54,12,0)+IF(P54="Atrasado",10,0)+IF(O54&lt;0,8,0),100),0))</f>
        <v/>
      </c>
      <c r="AA54" s="19" t="str">
        <f aca="false">IF(N54="","",IF(OR(E54=0,Y54&lt;45,Z54&gt;=65,AND(R54&lt;=60,Y54&lt;60,E54&gt;0)),"Vermelho",IF(OR(AND(Y54&gt;=45,Y54&lt;70),AND(Z54&gt;=45,Z54&lt;65)),"Amarelo","Verde")))</f>
        <v/>
      </c>
      <c r="AB54" s="19" t="str">
        <f aca="false">IF($A54="","",IF(AND(E54&gt;0,OR(S54&gt;=0.85,AND(Y54&gt;=75,O54&gt;=8,E54&gt;=D54,S54&gt;=0.7))),"Sim","Não"))</f>
        <v/>
      </c>
      <c r="AC54" s="21" t="str">
        <f aca="false">IF($A54="","",IF(AB54="Sim",ROUND(E54*0.25,0),0))</f>
        <v/>
      </c>
    </row>
    <row r="55" customFormat="false" ht="15" hidden="false" customHeight="false" outlineLevel="0" collapsed="false">
      <c r="A55" s="10"/>
      <c r="B55" s="10"/>
      <c r="C55" s="10"/>
      <c r="D55" s="11"/>
      <c r="E55" s="11"/>
      <c r="F55" s="11"/>
      <c r="G55" s="11"/>
      <c r="H55" s="11"/>
      <c r="I55" s="11"/>
      <c r="J55" s="10"/>
      <c r="K55" s="11"/>
      <c r="L55" s="11"/>
      <c r="M55" s="11"/>
      <c r="N55" s="11"/>
      <c r="O55" s="11"/>
      <c r="P55" s="10"/>
      <c r="Q55" s="10"/>
      <c r="R55" s="11"/>
      <c r="S55" s="12" t="str">
        <f aca="false">IF($A55="","",IF(F55=0,0,G55/F55))</f>
        <v/>
      </c>
      <c r="T55" s="13" t="str">
        <f aca="false">IF($A55="","",MEDIAN(0,0.6*(S55*100)+0.4*H55,100))</f>
        <v/>
      </c>
      <c r="U55" s="13" t="str">
        <f aca="false">IF($A55="","",MEDIAN(0,IF(J55="Sim",45,0)+MEDIAN(0,K55*10,30)+MEDIAN(0,25-I55/3,25),100))</f>
        <v/>
      </c>
      <c r="V55" s="13" t="str">
        <f aca="false">IF($A55="","",MEDIAN(0,0.5*N55+0.3*MEDIAN(0,100-L55*12,100)+0.2*MEDIAN(0,100-M55*40,100),100))</f>
        <v/>
      </c>
      <c r="W55" s="13" t="str">
        <f aca="false">IF($A55="","",MEDIAN(0,IF(P55="Em dia",60,20)+IF(E55&gt;=D55,40,IF(E55&gt;=D55*0.85,20,0)),100))</f>
        <v/>
      </c>
      <c r="X55" s="13" t="str">
        <f aca="false">IF($A55="","",MEDIAN(0,(O55+100)/2,100))</f>
        <v/>
      </c>
      <c r="Y55" s="14" t="str">
        <f aca="false">IF($A55="","",ROUND(0.35*T55+0.2*U55+0.2*V55+0.15*W55+0.1*X55,0))</f>
        <v/>
      </c>
      <c r="Z55" s="14" t="str">
        <f aca="false">IF($A55="","",ROUND(MEDIAN(0,(1-S55)*25+IF(H55&lt;40,15,IF(H55&lt;60,7,0))+IF(J55="Sim",0,18)+IF(K55&lt;=1,10,0)+MEDIAN(0,I55/4,18)+M55*8+IF(E55&lt;D55,12,0)+IF(P55="Atrasado",10,0)+IF(O55&lt;0,8,0),100),0))</f>
        <v/>
      </c>
      <c r="AA55" s="13" t="str">
        <f aca="false">IF(N55="","",IF(OR(E55=0,Y55&lt;45,Z55&gt;=65,AND(R55&lt;=60,Y55&lt;60,E55&gt;0)),"Vermelho",IF(OR(AND(Y55&gt;=45,Y55&lt;70),AND(Z55&gt;=45,Z55&lt;65)),"Amarelo","Verde")))</f>
        <v/>
      </c>
      <c r="AB55" s="13" t="str">
        <f aca="false">IF($A55="","",IF(AND(E55&gt;0,OR(S55&gt;=0.85,AND(Y55&gt;=75,O55&gt;=8,E55&gt;=D55,S55&gt;=0.7))),"Sim","Não"))</f>
        <v/>
      </c>
      <c r="AC55" s="15" t="str">
        <f aca="false">IF($A55="","",IF(AB55="Sim",ROUND(E55*0.25,0),0))</f>
        <v/>
      </c>
    </row>
    <row r="56" customFormat="false" ht="15" hidden="false" customHeight="false" outlineLevel="0" collapsed="false">
      <c r="A56" s="16"/>
      <c r="B56" s="16"/>
      <c r="C56" s="16"/>
      <c r="D56" s="17"/>
      <c r="E56" s="17"/>
      <c r="F56" s="17"/>
      <c r="G56" s="17"/>
      <c r="H56" s="17"/>
      <c r="I56" s="17"/>
      <c r="J56" s="16"/>
      <c r="K56" s="17"/>
      <c r="L56" s="17"/>
      <c r="M56" s="17"/>
      <c r="N56" s="17"/>
      <c r="O56" s="17"/>
      <c r="P56" s="16"/>
      <c r="Q56" s="16"/>
      <c r="R56" s="17"/>
      <c r="S56" s="18" t="str">
        <f aca="false">IF($A56="","",IF(F56=0,0,G56/F56))</f>
        <v/>
      </c>
      <c r="T56" s="19" t="str">
        <f aca="false">IF($A56="","",MEDIAN(0,0.6*(S56*100)+0.4*H56,100))</f>
        <v/>
      </c>
      <c r="U56" s="19" t="str">
        <f aca="false">IF($A56="","",MEDIAN(0,IF(J56="Sim",45,0)+MEDIAN(0,K56*10,30)+MEDIAN(0,25-I56/3,25),100))</f>
        <v/>
      </c>
      <c r="V56" s="19" t="str">
        <f aca="false">IF($A56="","",MEDIAN(0,0.5*N56+0.3*MEDIAN(0,100-L56*12,100)+0.2*MEDIAN(0,100-M56*40,100),100))</f>
        <v/>
      </c>
      <c r="W56" s="19" t="str">
        <f aca="false">IF($A56="","",MEDIAN(0,IF(P56="Em dia",60,20)+IF(E56&gt;=D56,40,IF(E56&gt;=D56*0.85,20,0)),100))</f>
        <v/>
      </c>
      <c r="X56" s="19" t="str">
        <f aca="false">IF($A56="","",MEDIAN(0,(O56+100)/2,100))</f>
        <v/>
      </c>
      <c r="Y56" s="20" t="str">
        <f aca="false">IF($A56="","",ROUND(0.35*T56+0.2*U56+0.2*V56+0.15*W56+0.1*X56,0))</f>
        <v/>
      </c>
      <c r="Z56" s="20" t="str">
        <f aca="false">IF($A56="","",ROUND(MEDIAN(0,(1-S56)*25+IF(H56&lt;40,15,IF(H56&lt;60,7,0))+IF(J56="Sim",0,18)+IF(K56&lt;=1,10,0)+MEDIAN(0,I56/4,18)+M56*8+IF(E56&lt;D56,12,0)+IF(P56="Atrasado",10,0)+IF(O56&lt;0,8,0),100),0))</f>
        <v/>
      </c>
      <c r="AA56" s="19" t="str">
        <f aca="false">IF(N56="","",IF(OR(E56=0,Y56&lt;45,Z56&gt;=65,AND(R56&lt;=60,Y56&lt;60,E56&gt;0)),"Vermelho",IF(OR(AND(Y56&gt;=45,Y56&lt;70),AND(Z56&gt;=45,Z56&lt;65)),"Amarelo","Verde")))</f>
        <v/>
      </c>
      <c r="AB56" s="19" t="str">
        <f aca="false">IF($A56="","",IF(AND(E56&gt;0,OR(S56&gt;=0.85,AND(Y56&gt;=75,O56&gt;=8,E56&gt;=D56,S56&gt;=0.7))),"Sim","Não"))</f>
        <v/>
      </c>
      <c r="AC56" s="21" t="str">
        <f aca="false">IF($A56="","",IF(AB56="Sim",ROUND(E56*0.25,0),0))</f>
        <v/>
      </c>
    </row>
    <row r="57" customFormat="false" ht="15" hidden="false" customHeight="false" outlineLevel="0" collapsed="false">
      <c r="A57" s="10"/>
      <c r="B57" s="10"/>
      <c r="C57" s="10"/>
      <c r="D57" s="11"/>
      <c r="E57" s="11"/>
      <c r="F57" s="11"/>
      <c r="G57" s="11"/>
      <c r="H57" s="11"/>
      <c r="I57" s="11"/>
      <c r="J57" s="10"/>
      <c r="K57" s="11"/>
      <c r="L57" s="11"/>
      <c r="M57" s="11"/>
      <c r="N57" s="11"/>
      <c r="O57" s="11"/>
      <c r="P57" s="10"/>
      <c r="Q57" s="10"/>
      <c r="R57" s="11"/>
      <c r="S57" s="12" t="str">
        <f aca="false">IF($A57="","",IF(F57=0,0,G57/F57))</f>
        <v/>
      </c>
      <c r="T57" s="13" t="str">
        <f aca="false">IF($A57="","",MEDIAN(0,0.6*(S57*100)+0.4*H57,100))</f>
        <v/>
      </c>
      <c r="U57" s="13" t="str">
        <f aca="false">IF($A57="","",MEDIAN(0,IF(J57="Sim",45,0)+MEDIAN(0,K57*10,30)+MEDIAN(0,25-I57/3,25),100))</f>
        <v/>
      </c>
      <c r="V57" s="13" t="str">
        <f aca="false">IF($A57="","",MEDIAN(0,0.5*N57+0.3*MEDIAN(0,100-L57*12,100)+0.2*MEDIAN(0,100-M57*40,100),100))</f>
        <v/>
      </c>
      <c r="W57" s="13" t="str">
        <f aca="false">IF($A57="","",MEDIAN(0,IF(P57="Em dia",60,20)+IF(E57&gt;=D57,40,IF(E57&gt;=D57*0.85,20,0)),100))</f>
        <v/>
      </c>
      <c r="X57" s="13" t="str">
        <f aca="false">IF($A57="","",MEDIAN(0,(O57+100)/2,100))</f>
        <v/>
      </c>
      <c r="Y57" s="14" t="str">
        <f aca="false">IF($A57="","",ROUND(0.35*T57+0.2*U57+0.2*V57+0.15*W57+0.1*X57,0))</f>
        <v/>
      </c>
      <c r="Z57" s="14" t="str">
        <f aca="false">IF($A57="","",ROUND(MEDIAN(0,(1-S57)*25+IF(H57&lt;40,15,IF(H57&lt;60,7,0))+IF(J57="Sim",0,18)+IF(K57&lt;=1,10,0)+MEDIAN(0,I57/4,18)+M57*8+IF(E57&lt;D57,12,0)+IF(P57="Atrasado",10,0)+IF(O57&lt;0,8,0),100),0))</f>
        <v/>
      </c>
      <c r="AA57" s="13" t="str">
        <f aca="false">IF(N57="","",IF(OR(E57=0,Y57&lt;45,Z57&gt;=65,AND(R57&lt;=60,Y57&lt;60,E57&gt;0)),"Vermelho",IF(OR(AND(Y57&gt;=45,Y57&lt;70),AND(Z57&gt;=45,Z57&lt;65)),"Amarelo","Verde")))</f>
        <v/>
      </c>
      <c r="AB57" s="13" t="str">
        <f aca="false">IF($A57="","",IF(AND(E57&gt;0,OR(S57&gt;=0.85,AND(Y57&gt;=75,O57&gt;=8,E57&gt;=D57,S57&gt;=0.7))),"Sim","Não"))</f>
        <v/>
      </c>
      <c r="AC57" s="15" t="str">
        <f aca="false">IF($A57="","",IF(AB57="Sim",ROUND(E57*0.25,0),0))</f>
        <v/>
      </c>
    </row>
    <row r="58" customFormat="false" ht="15" hidden="false" customHeight="false" outlineLevel="0" collapsed="false">
      <c r="A58" s="16"/>
      <c r="B58" s="16"/>
      <c r="C58" s="16"/>
      <c r="D58" s="17"/>
      <c r="E58" s="17"/>
      <c r="F58" s="17"/>
      <c r="G58" s="17"/>
      <c r="H58" s="17"/>
      <c r="I58" s="17"/>
      <c r="J58" s="16"/>
      <c r="K58" s="17"/>
      <c r="L58" s="17"/>
      <c r="M58" s="17"/>
      <c r="N58" s="17"/>
      <c r="O58" s="17"/>
      <c r="P58" s="16"/>
      <c r="Q58" s="16"/>
      <c r="R58" s="17"/>
      <c r="S58" s="18" t="str">
        <f aca="false">IF($A58="","",IF(F58=0,0,G58/F58))</f>
        <v/>
      </c>
      <c r="T58" s="19" t="str">
        <f aca="false">IF($A58="","",MEDIAN(0,0.6*(S58*100)+0.4*H58,100))</f>
        <v/>
      </c>
      <c r="U58" s="19" t="str">
        <f aca="false">IF($A58="","",MEDIAN(0,IF(J58="Sim",45,0)+MEDIAN(0,K58*10,30)+MEDIAN(0,25-I58/3,25),100))</f>
        <v/>
      </c>
      <c r="V58" s="19" t="str">
        <f aca="false">IF($A58="","",MEDIAN(0,0.5*N58+0.3*MEDIAN(0,100-L58*12,100)+0.2*MEDIAN(0,100-M58*40,100),100))</f>
        <v/>
      </c>
      <c r="W58" s="19" t="str">
        <f aca="false">IF($A58="","",MEDIAN(0,IF(P58="Em dia",60,20)+IF(E58&gt;=D58,40,IF(E58&gt;=D58*0.85,20,0)),100))</f>
        <v/>
      </c>
      <c r="X58" s="19" t="str">
        <f aca="false">IF($A58="","",MEDIAN(0,(O58+100)/2,100))</f>
        <v/>
      </c>
      <c r="Y58" s="20" t="str">
        <f aca="false">IF($A58="","",ROUND(0.35*T58+0.2*U58+0.2*V58+0.15*W58+0.1*X58,0))</f>
        <v/>
      </c>
      <c r="Z58" s="20" t="str">
        <f aca="false">IF($A58="","",ROUND(MEDIAN(0,(1-S58)*25+IF(H58&lt;40,15,IF(H58&lt;60,7,0))+IF(J58="Sim",0,18)+IF(K58&lt;=1,10,0)+MEDIAN(0,I58/4,18)+M58*8+IF(E58&lt;D58,12,0)+IF(P58="Atrasado",10,0)+IF(O58&lt;0,8,0),100),0))</f>
        <v/>
      </c>
      <c r="AA58" s="19" t="str">
        <f aca="false">IF(N58="","",IF(OR(E58=0,Y58&lt;45,Z58&gt;=65,AND(R58&lt;=60,Y58&lt;60,E58&gt;0)),"Vermelho",IF(OR(AND(Y58&gt;=45,Y58&lt;70),AND(Z58&gt;=45,Z58&lt;65)),"Amarelo","Verde")))</f>
        <v/>
      </c>
      <c r="AB58" s="19" t="str">
        <f aca="false">IF($A58="","",IF(AND(E58&gt;0,OR(S58&gt;=0.85,AND(Y58&gt;=75,O58&gt;=8,E58&gt;=D58,S58&gt;=0.7))),"Sim","Não"))</f>
        <v/>
      </c>
      <c r="AC58" s="21" t="str">
        <f aca="false">IF($A58="","",IF(AB58="Sim",ROUND(E58*0.25,0),0))</f>
        <v/>
      </c>
    </row>
    <row r="59" customFormat="false" ht="15" hidden="false" customHeight="false" outlineLevel="0" collapsed="false">
      <c r="A59" s="10"/>
      <c r="B59" s="10"/>
      <c r="C59" s="10"/>
      <c r="D59" s="11"/>
      <c r="E59" s="11"/>
      <c r="F59" s="11"/>
      <c r="G59" s="11"/>
      <c r="H59" s="11"/>
      <c r="I59" s="11"/>
      <c r="J59" s="10"/>
      <c r="K59" s="11"/>
      <c r="L59" s="11"/>
      <c r="M59" s="11"/>
      <c r="N59" s="11"/>
      <c r="O59" s="11"/>
      <c r="P59" s="10"/>
      <c r="Q59" s="10"/>
      <c r="R59" s="11"/>
      <c r="S59" s="12" t="str">
        <f aca="false">IF($A59="","",IF(F59=0,0,G59/F59))</f>
        <v/>
      </c>
      <c r="T59" s="13" t="str">
        <f aca="false">IF($A59="","",MEDIAN(0,0.6*(S59*100)+0.4*H59,100))</f>
        <v/>
      </c>
      <c r="U59" s="13" t="str">
        <f aca="false">IF($A59="","",MEDIAN(0,IF(J59="Sim",45,0)+MEDIAN(0,K59*10,30)+MEDIAN(0,25-I59/3,25),100))</f>
        <v/>
      </c>
      <c r="V59" s="13" t="str">
        <f aca="false">IF($A59="","",MEDIAN(0,0.5*N59+0.3*MEDIAN(0,100-L59*12,100)+0.2*MEDIAN(0,100-M59*40,100),100))</f>
        <v/>
      </c>
      <c r="W59" s="13" t="str">
        <f aca="false">IF($A59="","",MEDIAN(0,IF(P59="Em dia",60,20)+IF(E59&gt;=D59,40,IF(E59&gt;=D59*0.85,20,0)),100))</f>
        <v/>
      </c>
      <c r="X59" s="13" t="str">
        <f aca="false">IF($A59="","",MEDIAN(0,(O59+100)/2,100))</f>
        <v/>
      </c>
      <c r="Y59" s="14" t="str">
        <f aca="false">IF($A59="","",ROUND(0.35*T59+0.2*U59+0.2*V59+0.15*W59+0.1*X59,0))</f>
        <v/>
      </c>
      <c r="Z59" s="14" t="str">
        <f aca="false">IF($A59="","",ROUND(MEDIAN(0,(1-S59)*25+IF(H59&lt;40,15,IF(H59&lt;60,7,0))+IF(J59="Sim",0,18)+IF(K59&lt;=1,10,0)+MEDIAN(0,I59/4,18)+M59*8+IF(E59&lt;D59,12,0)+IF(P59="Atrasado",10,0)+IF(O59&lt;0,8,0),100),0))</f>
        <v/>
      </c>
      <c r="AA59" s="13" t="str">
        <f aca="false">IF(N59="","",IF(OR(E59=0,Y59&lt;45,Z59&gt;=65,AND(R59&lt;=60,Y59&lt;60,E59&gt;0)),"Vermelho",IF(OR(AND(Y59&gt;=45,Y59&lt;70),AND(Z59&gt;=45,Z59&lt;65)),"Amarelo","Verde")))</f>
        <v/>
      </c>
      <c r="AB59" s="13" t="str">
        <f aca="false">IF($A59="","",IF(AND(E59&gt;0,OR(S59&gt;=0.85,AND(Y59&gt;=75,O59&gt;=8,E59&gt;=D59,S59&gt;=0.7))),"Sim","Não"))</f>
        <v/>
      </c>
      <c r="AC59" s="15" t="str">
        <f aca="false">IF($A59="","",IF(AB59="Sim",ROUND(E59*0.25,0),0))</f>
        <v/>
      </c>
    </row>
    <row r="60" customFormat="false" ht="15" hidden="false" customHeight="false" outlineLevel="0" collapsed="false">
      <c r="A60" s="16"/>
      <c r="B60" s="16"/>
      <c r="C60" s="16"/>
      <c r="D60" s="17"/>
      <c r="E60" s="17"/>
      <c r="F60" s="17"/>
      <c r="G60" s="17"/>
      <c r="H60" s="17"/>
      <c r="I60" s="17"/>
      <c r="J60" s="16"/>
      <c r="K60" s="17"/>
      <c r="L60" s="17"/>
      <c r="M60" s="17"/>
      <c r="N60" s="17"/>
      <c r="O60" s="17"/>
      <c r="P60" s="16"/>
      <c r="Q60" s="16"/>
      <c r="R60" s="17"/>
      <c r="S60" s="18" t="str">
        <f aca="false">IF($A60="","",IF(F60=0,0,G60/F60))</f>
        <v/>
      </c>
      <c r="T60" s="19" t="str">
        <f aca="false">IF($A60="","",MEDIAN(0,0.6*(S60*100)+0.4*H60,100))</f>
        <v/>
      </c>
      <c r="U60" s="19" t="str">
        <f aca="false">IF($A60="","",MEDIAN(0,IF(J60="Sim",45,0)+MEDIAN(0,K60*10,30)+MEDIAN(0,25-I60/3,25),100))</f>
        <v/>
      </c>
      <c r="V60" s="19" t="str">
        <f aca="false">IF($A60="","",MEDIAN(0,0.5*N60+0.3*MEDIAN(0,100-L60*12,100)+0.2*MEDIAN(0,100-M60*40,100),100))</f>
        <v/>
      </c>
      <c r="W60" s="19" t="str">
        <f aca="false">IF($A60="","",MEDIAN(0,IF(P60="Em dia",60,20)+IF(E60&gt;=D60,40,IF(E60&gt;=D60*0.85,20,0)),100))</f>
        <v/>
      </c>
      <c r="X60" s="19" t="str">
        <f aca="false">IF($A60="","",MEDIAN(0,(O60+100)/2,100))</f>
        <v/>
      </c>
      <c r="Y60" s="20" t="str">
        <f aca="false">IF($A60="","",ROUND(0.35*T60+0.2*U60+0.2*V60+0.15*W60+0.1*X60,0))</f>
        <v/>
      </c>
      <c r="Z60" s="20" t="str">
        <f aca="false">IF($A60="","",ROUND(MEDIAN(0,(1-S60)*25+IF(H60&lt;40,15,IF(H60&lt;60,7,0))+IF(J60="Sim",0,18)+IF(K60&lt;=1,10,0)+MEDIAN(0,I60/4,18)+M60*8+IF(E60&lt;D60,12,0)+IF(P60="Atrasado",10,0)+IF(O60&lt;0,8,0),100),0))</f>
        <v/>
      </c>
      <c r="AA60" s="19" t="str">
        <f aca="false">IF(N60="","",IF(OR(E60=0,Y60&lt;45,Z60&gt;=65,AND(R60&lt;=60,Y60&lt;60,E60&gt;0)),"Vermelho",IF(OR(AND(Y60&gt;=45,Y60&lt;70),AND(Z60&gt;=45,Z60&lt;65)),"Amarelo","Verde")))</f>
        <v/>
      </c>
      <c r="AB60" s="19" t="str">
        <f aca="false">IF($A60="","",IF(AND(E60&gt;0,OR(S60&gt;=0.85,AND(Y60&gt;=75,O60&gt;=8,E60&gt;=D60,S60&gt;=0.7))),"Sim","Não"))</f>
        <v/>
      </c>
      <c r="AC60" s="21" t="str">
        <f aca="false">IF($A60="","",IF(AB60="Sim",ROUND(E60*0.25,0),0))</f>
        <v/>
      </c>
    </row>
    <row r="61" customFormat="false" ht="15" hidden="false" customHeight="false" outlineLevel="0" collapsed="false">
      <c r="A61" s="10"/>
      <c r="B61" s="10"/>
      <c r="C61" s="10"/>
      <c r="D61" s="11"/>
      <c r="E61" s="11"/>
      <c r="F61" s="11"/>
      <c r="G61" s="11"/>
      <c r="H61" s="11"/>
      <c r="I61" s="11"/>
      <c r="J61" s="10"/>
      <c r="K61" s="11"/>
      <c r="L61" s="11"/>
      <c r="M61" s="11"/>
      <c r="N61" s="11"/>
      <c r="O61" s="11"/>
      <c r="P61" s="10"/>
      <c r="Q61" s="10"/>
      <c r="R61" s="11"/>
      <c r="S61" s="12" t="str">
        <f aca="false">IF($A61="","",IF(F61=0,0,G61/F61))</f>
        <v/>
      </c>
      <c r="T61" s="13" t="str">
        <f aca="false">IF($A61="","",MEDIAN(0,0.6*(S61*100)+0.4*H61,100))</f>
        <v/>
      </c>
      <c r="U61" s="13" t="str">
        <f aca="false">IF($A61="","",MEDIAN(0,IF(J61="Sim",45,0)+MEDIAN(0,K61*10,30)+MEDIAN(0,25-I61/3,25),100))</f>
        <v/>
      </c>
      <c r="V61" s="13" t="str">
        <f aca="false">IF($A61="","",MEDIAN(0,0.5*N61+0.3*MEDIAN(0,100-L61*12,100)+0.2*MEDIAN(0,100-M61*40,100),100))</f>
        <v/>
      </c>
      <c r="W61" s="13" t="str">
        <f aca="false">IF($A61="","",MEDIAN(0,IF(P61="Em dia",60,20)+IF(E61&gt;=D61,40,IF(E61&gt;=D61*0.85,20,0)),100))</f>
        <v/>
      </c>
      <c r="X61" s="13" t="str">
        <f aca="false">IF($A61="","",MEDIAN(0,(O61+100)/2,100))</f>
        <v/>
      </c>
      <c r="Y61" s="14" t="str">
        <f aca="false">IF($A61="","",ROUND(0.35*T61+0.2*U61+0.2*V61+0.15*W61+0.1*X61,0))</f>
        <v/>
      </c>
      <c r="Z61" s="14" t="str">
        <f aca="false">IF($A61="","",ROUND(MEDIAN(0,(1-S61)*25+IF(H61&lt;40,15,IF(H61&lt;60,7,0))+IF(J61="Sim",0,18)+IF(K61&lt;=1,10,0)+MEDIAN(0,I61/4,18)+M61*8+IF(E61&lt;D61,12,0)+IF(P61="Atrasado",10,0)+IF(O61&lt;0,8,0),100),0))</f>
        <v/>
      </c>
      <c r="AA61" s="13" t="str">
        <f aca="false">IF(N61="","",IF(OR(E61=0,Y61&lt;45,Z61&gt;=65,AND(R61&lt;=60,Y61&lt;60,E61&gt;0)),"Vermelho",IF(OR(AND(Y61&gt;=45,Y61&lt;70),AND(Z61&gt;=45,Z61&lt;65)),"Amarelo","Verde")))</f>
        <v/>
      </c>
      <c r="AB61" s="13" t="str">
        <f aca="false">IF($A61="","",IF(AND(E61&gt;0,OR(S61&gt;=0.85,AND(Y61&gt;=75,O61&gt;=8,E61&gt;=D61,S61&gt;=0.7))),"Sim","Não"))</f>
        <v/>
      </c>
      <c r="AC61" s="15" t="str">
        <f aca="false">IF($A61="","",IF(AB61="Sim",ROUND(E61*0.25,0),0))</f>
        <v/>
      </c>
    </row>
    <row r="62" customFormat="false" ht="15" hidden="false" customHeight="false" outlineLevel="0" collapsed="false">
      <c r="A62" s="16"/>
      <c r="B62" s="16"/>
      <c r="C62" s="16"/>
      <c r="D62" s="17"/>
      <c r="E62" s="17"/>
      <c r="F62" s="17"/>
      <c r="G62" s="17"/>
      <c r="H62" s="17"/>
      <c r="I62" s="17"/>
      <c r="J62" s="16"/>
      <c r="K62" s="17"/>
      <c r="L62" s="17"/>
      <c r="M62" s="17"/>
      <c r="N62" s="17"/>
      <c r="O62" s="17"/>
      <c r="P62" s="16"/>
      <c r="Q62" s="16"/>
      <c r="R62" s="17"/>
      <c r="S62" s="18" t="str">
        <f aca="false">IF($A62="","",IF(F62=0,0,G62/F62))</f>
        <v/>
      </c>
      <c r="T62" s="19" t="str">
        <f aca="false">IF($A62="","",MEDIAN(0,0.6*(S62*100)+0.4*H62,100))</f>
        <v/>
      </c>
      <c r="U62" s="19" t="str">
        <f aca="false">IF($A62="","",MEDIAN(0,IF(J62="Sim",45,0)+MEDIAN(0,K62*10,30)+MEDIAN(0,25-I62/3,25),100))</f>
        <v/>
      </c>
      <c r="V62" s="19" t="str">
        <f aca="false">IF($A62="","",MEDIAN(0,0.5*N62+0.3*MEDIAN(0,100-L62*12,100)+0.2*MEDIAN(0,100-M62*40,100),100))</f>
        <v/>
      </c>
      <c r="W62" s="19" t="str">
        <f aca="false">IF($A62="","",MEDIAN(0,IF(P62="Em dia",60,20)+IF(E62&gt;=D62,40,IF(E62&gt;=D62*0.85,20,0)),100))</f>
        <v/>
      </c>
      <c r="X62" s="19" t="str">
        <f aca="false">IF($A62="","",MEDIAN(0,(O62+100)/2,100))</f>
        <v/>
      </c>
      <c r="Y62" s="20" t="str">
        <f aca="false">IF($A62="","",ROUND(0.35*T62+0.2*U62+0.2*V62+0.15*W62+0.1*X62,0))</f>
        <v/>
      </c>
      <c r="Z62" s="20" t="str">
        <f aca="false">IF($A62="","",ROUND(MEDIAN(0,(1-S62)*25+IF(H62&lt;40,15,IF(H62&lt;60,7,0))+IF(J62="Sim",0,18)+IF(K62&lt;=1,10,0)+MEDIAN(0,I62/4,18)+M62*8+IF(E62&lt;D62,12,0)+IF(P62="Atrasado",10,0)+IF(O62&lt;0,8,0),100),0))</f>
        <v/>
      </c>
      <c r="AA62" s="19" t="str">
        <f aca="false">IF(N62="","",IF(OR(E62=0,Y62&lt;45,Z62&gt;=65,AND(R62&lt;=60,Y62&lt;60,E62&gt;0)),"Vermelho",IF(OR(AND(Y62&gt;=45,Y62&lt;70),AND(Z62&gt;=45,Z62&lt;65)),"Amarelo","Verde")))</f>
        <v/>
      </c>
      <c r="AB62" s="19" t="str">
        <f aca="false">IF($A62="","",IF(AND(E62&gt;0,OR(S62&gt;=0.85,AND(Y62&gt;=75,O62&gt;=8,E62&gt;=D62,S62&gt;=0.7))),"Sim","Não"))</f>
        <v/>
      </c>
      <c r="AC62" s="21" t="str">
        <f aca="false">IF($A62="","",IF(AB62="Sim",ROUND(E62*0.25,0),0))</f>
        <v/>
      </c>
    </row>
    <row r="63" customFormat="false" ht="15" hidden="false" customHeight="false" outlineLevel="0" collapsed="false">
      <c r="A63" s="10"/>
      <c r="B63" s="10"/>
      <c r="C63" s="10"/>
      <c r="D63" s="11"/>
      <c r="E63" s="11"/>
      <c r="F63" s="11"/>
      <c r="G63" s="11"/>
      <c r="H63" s="11"/>
      <c r="I63" s="11"/>
      <c r="J63" s="10"/>
      <c r="K63" s="11"/>
      <c r="L63" s="11"/>
      <c r="M63" s="11"/>
      <c r="N63" s="11"/>
      <c r="O63" s="11"/>
      <c r="P63" s="10"/>
      <c r="Q63" s="10"/>
      <c r="R63" s="11"/>
      <c r="S63" s="12" t="str">
        <f aca="false">IF($A63="","",IF(F63=0,0,G63/F63))</f>
        <v/>
      </c>
      <c r="T63" s="13" t="str">
        <f aca="false">IF($A63="","",MEDIAN(0,0.6*(S63*100)+0.4*H63,100))</f>
        <v/>
      </c>
      <c r="U63" s="13" t="str">
        <f aca="false">IF($A63="","",MEDIAN(0,IF(J63="Sim",45,0)+MEDIAN(0,K63*10,30)+MEDIAN(0,25-I63/3,25),100))</f>
        <v/>
      </c>
      <c r="V63" s="13" t="str">
        <f aca="false">IF($A63="","",MEDIAN(0,0.5*N63+0.3*MEDIAN(0,100-L63*12,100)+0.2*MEDIAN(0,100-M63*40,100),100))</f>
        <v/>
      </c>
      <c r="W63" s="13" t="str">
        <f aca="false">IF($A63="","",MEDIAN(0,IF(P63="Em dia",60,20)+IF(E63&gt;=D63,40,IF(E63&gt;=D63*0.85,20,0)),100))</f>
        <v/>
      </c>
      <c r="X63" s="13" t="str">
        <f aca="false">IF($A63="","",MEDIAN(0,(O63+100)/2,100))</f>
        <v/>
      </c>
      <c r="Y63" s="14" t="str">
        <f aca="false">IF($A63="","",ROUND(0.35*T63+0.2*U63+0.2*V63+0.15*W63+0.1*X63,0))</f>
        <v/>
      </c>
      <c r="Z63" s="14" t="str">
        <f aca="false">IF($A63="","",ROUND(MEDIAN(0,(1-S63)*25+IF(H63&lt;40,15,IF(H63&lt;60,7,0))+IF(J63="Sim",0,18)+IF(K63&lt;=1,10,0)+MEDIAN(0,I63/4,18)+M63*8+IF(E63&lt;D63,12,0)+IF(P63="Atrasado",10,0)+IF(O63&lt;0,8,0),100),0))</f>
        <v/>
      </c>
      <c r="AA63" s="13" t="str">
        <f aca="false">IF(N63="","",IF(OR(E63=0,Y63&lt;45,Z63&gt;=65,AND(R63&lt;=60,Y63&lt;60,E63&gt;0)),"Vermelho",IF(OR(AND(Y63&gt;=45,Y63&lt;70),AND(Z63&gt;=45,Z63&lt;65)),"Amarelo","Verde")))</f>
        <v/>
      </c>
      <c r="AB63" s="13" t="str">
        <f aca="false">IF($A63="","",IF(AND(E63&gt;0,OR(S63&gt;=0.85,AND(Y63&gt;=75,O63&gt;=8,E63&gt;=D63,S63&gt;=0.7))),"Sim","Não"))</f>
        <v/>
      </c>
      <c r="AC63" s="15" t="str">
        <f aca="false">IF($A63="","",IF(AB63="Sim",ROUND(E63*0.25,0),0))</f>
        <v/>
      </c>
    </row>
    <row r="64" customFormat="false" ht="15" hidden="false" customHeight="false" outlineLevel="0" collapsed="false">
      <c r="A64" s="16"/>
      <c r="B64" s="16"/>
      <c r="C64" s="16"/>
      <c r="D64" s="17"/>
      <c r="E64" s="17"/>
      <c r="F64" s="17"/>
      <c r="G64" s="17"/>
      <c r="H64" s="17"/>
      <c r="I64" s="17"/>
      <c r="J64" s="16"/>
      <c r="K64" s="17"/>
      <c r="L64" s="17"/>
      <c r="M64" s="17"/>
      <c r="N64" s="17"/>
      <c r="O64" s="17"/>
      <c r="P64" s="16"/>
      <c r="Q64" s="16"/>
      <c r="R64" s="17"/>
      <c r="S64" s="18" t="str">
        <f aca="false">IF($A64="","",IF(F64=0,0,G64/F64))</f>
        <v/>
      </c>
      <c r="T64" s="19" t="str">
        <f aca="false">IF($A64="","",MEDIAN(0,0.6*(S64*100)+0.4*H64,100))</f>
        <v/>
      </c>
      <c r="U64" s="19" t="str">
        <f aca="false">IF($A64="","",MEDIAN(0,IF(J64="Sim",45,0)+MEDIAN(0,K64*10,30)+MEDIAN(0,25-I64/3,25),100))</f>
        <v/>
      </c>
      <c r="V64" s="19" t="str">
        <f aca="false">IF($A64="","",MEDIAN(0,0.5*N64+0.3*MEDIAN(0,100-L64*12,100)+0.2*MEDIAN(0,100-M64*40,100),100))</f>
        <v/>
      </c>
      <c r="W64" s="19" t="str">
        <f aca="false">IF($A64="","",MEDIAN(0,IF(P64="Em dia",60,20)+IF(E64&gt;=D64,40,IF(E64&gt;=D64*0.85,20,0)),100))</f>
        <v/>
      </c>
      <c r="X64" s="19" t="str">
        <f aca="false">IF($A64="","",MEDIAN(0,(O64+100)/2,100))</f>
        <v/>
      </c>
      <c r="Y64" s="20" t="str">
        <f aca="false">IF($A64="","",ROUND(0.35*T64+0.2*U64+0.2*V64+0.15*W64+0.1*X64,0))</f>
        <v/>
      </c>
      <c r="Z64" s="20" t="str">
        <f aca="false">IF($A64="","",ROUND(MEDIAN(0,(1-S64)*25+IF(H64&lt;40,15,IF(H64&lt;60,7,0))+IF(J64="Sim",0,18)+IF(K64&lt;=1,10,0)+MEDIAN(0,I64/4,18)+M64*8+IF(E64&lt;D64,12,0)+IF(P64="Atrasado",10,0)+IF(O64&lt;0,8,0),100),0))</f>
        <v/>
      </c>
      <c r="AA64" s="19" t="str">
        <f aca="false">IF(N64="","",IF(OR(E64=0,Y64&lt;45,Z64&gt;=65,AND(R64&lt;=60,Y64&lt;60,E64&gt;0)),"Vermelho",IF(OR(AND(Y64&gt;=45,Y64&lt;70),AND(Z64&gt;=45,Z64&lt;65)),"Amarelo","Verde")))</f>
        <v/>
      </c>
      <c r="AB64" s="19" t="str">
        <f aca="false">IF($A64="","",IF(AND(E64&gt;0,OR(S64&gt;=0.85,AND(Y64&gt;=75,O64&gt;=8,E64&gt;=D64,S64&gt;=0.7))),"Sim","Não"))</f>
        <v/>
      </c>
      <c r="AC64" s="21" t="str">
        <f aca="false">IF($A64="","",IF(AB64="Sim",ROUND(E64*0.25,0),0))</f>
        <v/>
      </c>
    </row>
    <row r="65" customFormat="false" ht="15" hidden="false" customHeight="false" outlineLevel="0" collapsed="false">
      <c r="A65" s="10"/>
      <c r="B65" s="10"/>
      <c r="C65" s="10"/>
      <c r="D65" s="11"/>
      <c r="E65" s="11"/>
      <c r="F65" s="11"/>
      <c r="G65" s="11"/>
      <c r="H65" s="11"/>
      <c r="I65" s="11"/>
      <c r="J65" s="10"/>
      <c r="K65" s="11"/>
      <c r="L65" s="11"/>
      <c r="M65" s="11"/>
      <c r="N65" s="11"/>
      <c r="O65" s="11"/>
      <c r="P65" s="10"/>
      <c r="Q65" s="10"/>
      <c r="R65" s="11"/>
      <c r="S65" s="12" t="str">
        <f aca="false">IF($A65="","",IF(F65=0,0,G65/F65))</f>
        <v/>
      </c>
      <c r="T65" s="13" t="str">
        <f aca="false">IF($A65="","",MEDIAN(0,0.6*(S65*100)+0.4*H65,100))</f>
        <v/>
      </c>
      <c r="U65" s="13" t="str">
        <f aca="false">IF($A65="","",MEDIAN(0,IF(J65="Sim",45,0)+MEDIAN(0,K65*10,30)+MEDIAN(0,25-I65/3,25),100))</f>
        <v/>
      </c>
      <c r="V65" s="13" t="str">
        <f aca="false">IF($A65="","",MEDIAN(0,0.5*N65+0.3*MEDIAN(0,100-L65*12,100)+0.2*MEDIAN(0,100-M65*40,100),100))</f>
        <v/>
      </c>
      <c r="W65" s="13" t="str">
        <f aca="false">IF($A65="","",MEDIAN(0,IF(P65="Em dia",60,20)+IF(E65&gt;=D65,40,IF(E65&gt;=D65*0.85,20,0)),100))</f>
        <v/>
      </c>
      <c r="X65" s="13" t="str">
        <f aca="false">IF($A65="","",MEDIAN(0,(O65+100)/2,100))</f>
        <v/>
      </c>
      <c r="Y65" s="14" t="str">
        <f aca="false">IF($A65="","",ROUND(0.35*T65+0.2*U65+0.2*V65+0.15*W65+0.1*X65,0))</f>
        <v/>
      </c>
      <c r="Z65" s="14" t="str">
        <f aca="false">IF($A65="","",ROUND(MEDIAN(0,(1-S65)*25+IF(H65&lt;40,15,IF(H65&lt;60,7,0))+IF(J65="Sim",0,18)+IF(K65&lt;=1,10,0)+MEDIAN(0,I65/4,18)+M65*8+IF(E65&lt;D65,12,0)+IF(P65="Atrasado",10,0)+IF(O65&lt;0,8,0),100),0))</f>
        <v/>
      </c>
      <c r="AA65" s="13" t="str">
        <f aca="false">IF(N65="","",IF(OR(E65=0,Y65&lt;45,Z65&gt;=65,AND(R65&lt;=60,Y65&lt;60,E65&gt;0)),"Vermelho",IF(OR(AND(Y65&gt;=45,Y65&lt;70),AND(Z65&gt;=45,Z65&lt;65)),"Amarelo","Verde")))</f>
        <v/>
      </c>
      <c r="AB65" s="13" t="str">
        <f aca="false">IF($A65="","",IF(AND(E65&gt;0,OR(S65&gt;=0.85,AND(Y65&gt;=75,O65&gt;=8,E65&gt;=D65,S65&gt;=0.7))),"Sim","Não"))</f>
        <v/>
      </c>
      <c r="AC65" s="15" t="str">
        <f aca="false">IF($A65="","",IF(AB65="Sim",ROUND(E65*0.25,0),0))</f>
        <v/>
      </c>
    </row>
    <row r="66" customFormat="false" ht="15" hidden="false" customHeight="false" outlineLevel="0" collapsed="false">
      <c r="A66" s="16"/>
      <c r="B66" s="16"/>
      <c r="C66" s="16"/>
      <c r="D66" s="17"/>
      <c r="E66" s="17"/>
      <c r="F66" s="17"/>
      <c r="G66" s="17"/>
      <c r="H66" s="17"/>
      <c r="I66" s="17"/>
      <c r="J66" s="16"/>
      <c r="K66" s="17"/>
      <c r="L66" s="17"/>
      <c r="M66" s="17"/>
      <c r="N66" s="17"/>
      <c r="O66" s="17"/>
      <c r="P66" s="16"/>
      <c r="Q66" s="16"/>
      <c r="R66" s="17"/>
      <c r="S66" s="18" t="str">
        <f aca="false">IF($A66="","",IF(F66=0,0,G66/F66))</f>
        <v/>
      </c>
      <c r="T66" s="19" t="str">
        <f aca="false">IF($A66="","",MEDIAN(0,0.6*(S66*100)+0.4*H66,100))</f>
        <v/>
      </c>
      <c r="U66" s="19" t="str">
        <f aca="false">IF($A66="","",MEDIAN(0,IF(J66="Sim",45,0)+MEDIAN(0,K66*10,30)+MEDIAN(0,25-I66/3,25),100))</f>
        <v/>
      </c>
      <c r="V66" s="19" t="str">
        <f aca="false">IF($A66="","",MEDIAN(0,0.5*N66+0.3*MEDIAN(0,100-L66*12,100)+0.2*MEDIAN(0,100-M66*40,100),100))</f>
        <v/>
      </c>
      <c r="W66" s="19" t="str">
        <f aca="false">IF($A66="","",MEDIAN(0,IF(P66="Em dia",60,20)+IF(E66&gt;=D66,40,IF(E66&gt;=D66*0.85,20,0)),100))</f>
        <v/>
      </c>
      <c r="X66" s="19" t="str">
        <f aca="false">IF($A66="","",MEDIAN(0,(O66+100)/2,100))</f>
        <v/>
      </c>
      <c r="Y66" s="20" t="str">
        <f aca="false">IF($A66="","",ROUND(0.35*T66+0.2*U66+0.2*V66+0.15*W66+0.1*X66,0))</f>
        <v/>
      </c>
      <c r="Z66" s="20" t="str">
        <f aca="false">IF($A66="","",ROUND(MEDIAN(0,(1-S66)*25+IF(H66&lt;40,15,IF(H66&lt;60,7,0))+IF(J66="Sim",0,18)+IF(K66&lt;=1,10,0)+MEDIAN(0,I66/4,18)+M66*8+IF(E66&lt;D66,12,0)+IF(P66="Atrasado",10,0)+IF(O66&lt;0,8,0),100),0))</f>
        <v/>
      </c>
      <c r="AA66" s="19" t="str">
        <f aca="false">IF(N66="","",IF(OR(E66=0,Y66&lt;45,Z66&gt;=65,AND(R66&lt;=60,Y66&lt;60,E66&gt;0)),"Vermelho",IF(OR(AND(Y66&gt;=45,Y66&lt;70),AND(Z66&gt;=45,Z66&lt;65)),"Amarelo","Verde")))</f>
        <v/>
      </c>
      <c r="AB66" s="19" t="str">
        <f aca="false">IF($A66="","",IF(AND(E66&gt;0,OR(S66&gt;=0.85,AND(Y66&gt;=75,O66&gt;=8,E66&gt;=D66,S66&gt;=0.7))),"Sim","Não"))</f>
        <v/>
      </c>
      <c r="AC66" s="21" t="str">
        <f aca="false">IF($A66="","",IF(AB66="Sim",ROUND(E66*0.25,0),0))</f>
        <v/>
      </c>
    </row>
    <row r="67" customFormat="false" ht="15" hidden="false" customHeight="false" outlineLevel="0" collapsed="false">
      <c r="A67" s="10"/>
      <c r="B67" s="10"/>
      <c r="C67" s="10"/>
      <c r="D67" s="11"/>
      <c r="E67" s="11"/>
      <c r="F67" s="11"/>
      <c r="G67" s="11"/>
      <c r="H67" s="11"/>
      <c r="I67" s="11"/>
      <c r="J67" s="10"/>
      <c r="K67" s="11"/>
      <c r="L67" s="11"/>
      <c r="M67" s="11"/>
      <c r="N67" s="11"/>
      <c r="O67" s="11"/>
      <c r="P67" s="10"/>
      <c r="Q67" s="10"/>
      <c r="R67" s="11"/>
      <c r="S67" s="12" t="str">
        <f aca="false">IF($A67="","",IF(F67=0,0,G67/F67))</f>
        <v/>
      </c>
      <c r="T67" s="13" t="str">
        <f aca="false">IF($A67="","",MEDIAN(0,0.6*(S67*100)+0.4*H67,100))</f>
        <v/>
      </c>
      <c r="U67" s="13" t="str">
        <f aca="false">IF($A67="","",MEDIAN(0,IF(J67="Sim",45,0)+MEDIAN(0,K67*10,30)+MEDIAN(0,25-I67/3,25),100))</f>
        <v/>
      </c>
      <c r="V67" s="13" t="str">
        <f aca="false">IF($A67="","",MEDIAN(0,0.5*N67+0.3*MEDIAN(0,100-L67*12,100)+0.2*MEDIAN(0,100-M67*40,100),100))</f>
        <v/>
      </c>
      <c r="W67" s="13" t="str">
        <f aca="false">IF($A67="","",MEDIAN(0,IF(P67="Em dia",60,20)+IF(E67&gt;=D67,40,IF(E67&gt;=D67*0.85,20,0)),100))</f>
        <v/>
      </c>
      <c r="X67" s="13" t="str">
        <f aca="false">IF($A67="","",MEDIAN(0,(O67+100)/2,100))</f>
        <v/>
      </c>
      <c r="Y67" s="14" t="str">
        <f aca="false">IF($A67="","",ROUND(0.35*T67+0.2*U67+0.2*V67+0.15*W67+0.1*X67,0))</f>
        <v/>
      </c>
      <c r="Z67" s="14" t="str">
        <f aca="false">IF($A67="","",ROUND(MEDIAN(0,(1-S67)*25+IF(H67&lt;40,15,IF(H67&lt;60,7,0))+IF(J67="Sim",0,18)+IF(K67&lt;=1,10,0)+MEDIAN(0,I67/4,18)+M67*8+IF(E67&lt;D67,12,0)+IF(P67="Atrasado",10,0)+IF(O67&lt;0,8,0),100),0))</f>
        <v/>
      </c>
      <c r="AA67" s="13" t="str">
        <f aca="false">IF(N67="","",IF(OR(E67=0,Y67&lt;45,Z67&gt;=65,AND(R67&lt;=60,Y67&lt;60,E67&gt;0)),"Vermelho",IF(OR(AND(Y67&gt;=45,Y67&lt;70),AND(Z67&gt;=45,Z67&lt;65)),"Amarelo","Verde")))</f>
        <v/>
      </c>
      <c r="AB67" s="13" t="str">
        <f aca="false">IF($A67="","",IF(AND(E67&gt;0,OR(S67&gt;=0.85,AND(Y67&gt;=75,O67&gt;=8,E67&gt;=D67,S67&gt;=0.7))),"Sim","Não"))</f>
        <v/>
      </c>
      <c r="AC67" s="15" t="str">
        <f aca="false">IF($A67="","",IF(AB67="Sim",ROUND(E67*0.25,0),0))</f>
        <v/>
      </c>
    </row>
    <row r="68" customFormat="false" ht="15" hidden="false" customHeight="false" outlineLevel="0" collapsed="false">
      <c r="A68" s="16"/>
      <c r="B68" s="16"/>
      <c r="C68" s="16"/>
      <c r="D68" s="17"/>
      <c r="E68" s="17"/>
      <c r="F68" s="17"/>
      <c r="G68" s="17"/>
      <c r="H68" s="17"/>
      <c r="I68" s="17"/>
      <c r="J68" s="16"/>
      <c r="K68" s="17"/>
      <c r="L68" s="17"/>
      <c r="M68" s="17"/>
      <c r="N68" s="17"/>
      <c r="O68" s="17"/>
      <c r="P68" s="16"/>
      <c r="Q68" s="16"/>
      <c r="R68" s="17"/>
      <c r="S68" s="18" t="str">
        <f aca="false">IF($A68="","",IF(F68=0,0,G68/F68))</f>
        <v/>
      </c>
      <c r="T68" s="19" t="str">
        <f aca="false">IF($A68="","",MEDIAN(0,0.6*(S68*100)+0.4*H68,100))</f>
        <v/>
      </c>
      <c r="U68" s="19" t="str">
        <f aca="false">IF($A68="","",MEDIAN(0,IF(J68="Sim",45,0)+MEDIAN(0,K68*10,30)+MEDIAN(0,25-I68/3,25),100))</f>
        <v/>
      </c>
      <c r="V68" s="19" t="str">
        <f aca="false">IF($A68="","",MEDIAN(0,0.5*N68+0.3*MEDIAN(0,100-L68*12,100)+0.2*MEDIAN(0,100-M68*40,100),100))</f>
        <v/>
      </c>
      <c r="W68" s="19" t="str">
        <f aca="false">IF($A68="","",MEDIAN(0,IF(P68="Em dia",60,20)+IF(E68&gt;=D68,40,IF(E68&gt;=D68*0.85,20,0)),100))</f>
        <v/>
      </c>
      <c r="X68" s="19" t="str">
        <f aca="false">IF($A68="","",MEDIAN(0,(O68+100)/2,100))</f>
        <v/>
      </c>
      <c r="Y68" s="20" t="str">
        <f aca="false">IF($A68="","",ROUND(0.35*T68+0.2*U68+0.2*V68+0.15*W68+0.1*X68,0))</f>
        <v/>
      </c>
      <c r="Z68" s="20" t="str">
        <f aca="false">IF($A68="","",ROUND(MEDIAN(0,(1-S68)*25+IF(H68&lt;40,15,IF(H68&lt;60,7,0))+IF(J68="Sim",0,18)+IF(K68&lt;=1,10,0)+MEDIAN(0,I68/4,18)+M68*8+IF(E68&lt;D68,12,0)+IF(P68="Atrasado",10,0)+IF(O68&lt;0,8,0),100),0))</f>
        <v/>
      </c>
      <c r="AA68" s="19" t="str">
        <f aca="false">IF(N68="","",IF(OR(E68=0,Y68&lt;45,Z68&gt;=65,AND(R68&lt;=60,Y68&lt;60,E68&gt;0)),"Vermelho",IF(OR(AND(Y68&gt;=45,Y68&lt;70),AND(Z68&gt;=45,Z68&lt;65)),"Amarelo","Verde")))</f>
        <v/>
      </c>
      <c r="AB68" s="19" t="str">
        <f aca="false">IF($A68="","",IF(AND(E68&gt;0,OR(S68&gt;=0.85,AND(Y68&gt;=75,O68&gt;=8,E68&gt;=D68,S68&gt;=0.7))),"Sim","Não"))</f>
        <v/>
      </c>
      <c r="AC68" s="21" t="str">
        <f aca="false">IF($A68="","",IF(AB68="Sim",ROUND(E68*0.25,0),0))</f>
        <v/>
      </c>
    </row>
    <row r="69" customFormat="false" ht="15" hidden="false" customHeight="false" outlineLevel="0" collapsed="false">
      <c r="A69" s="10"/>
      <c r="B69" s="10"/>
      <c r="C69" s="10"/>
      <c r="D69" s="11"/>
      <c r="E69" s="11"/>
      <c r="F69" s="11"/>
      <c r="G69" s="11"/>
      <c r="H69" s="11"/>
      <c r="I69" s="11"/>
      <c r="J69" s="10"/>
      <c r="K69" s="11"/>
      <c r="L69" s="11"/>
      <c r="M69" s="11"/>
      <c r="N69" s="11"/>
      <c r="O69" s="11"/>
      <c r="P69" s="10"/>
      <c r="Q69" s="10"/>
      <c r="R69" s="11"/>
      <c r="S69" s="12" t="str">
        <f aca="false">IF($A69="","",IF(F69=0,0,G69/F69))</f>
        <v/>
      </c>
      <c r="T69" s="13" t="str">
        <f aca="false">IF($A69="","",MEDIAN(0,0.6*(S69*100)+0.4*H69,100))</f>
        <v/>
      </c>
      <c r="U69" s="13" t="str">
        <f aca="false">IF($A69="","",MEDIAN(0,IF(J69="Sim",45,0)+MEDIAN(0,K69*10,30)+MEDIAN(0,25-I69/3,25),100))</f>
        <v/>
      </c>
      <c r="V69" s="13" t="str">
        <f aca="false">IF($A69="","",MEDIAN(0,0.5*N69+0.3*MEDIAN(0,100-L69*12,100)+0.2*MEDIAN(0,100-M69*40,100),100))</f>
        <v/>
      </c>
      <c r="W69" s="13" t="str">
        <f aca="false">IF($A69="","",MEDIAN(0,IF(P69="Em dia",60,20)+IF(E69&gt;=D69,40,IF(E69&gt;=D69*0.85,20,0)),100))</f>
        <v/>
      </c>
      <c r="X69" s="13" t="str">
        <f aca="false">IF($A69="","",MEDIAN(0,(O69+100)/2,100))</f>
        <v/>
      </c>
      <c r="Y69" s="14" t="str">
        <f aca="false">IF($A69="","",ROUND(0.35*T69+0.2*U69+0.2*V69+0.15*W69+0.1*X69,0))</f>
        <v/>
      </c>
      <c r="Z69" s="14" t="str">
        <f aca="false">IF($A69="","",ROUND(MEDIAN(0,(1-S69)*25+IF(H69&lt;40,15,IF(H69&lt;60,7,0))+IF(J69="Sim",0,18)+IF(K69&lt;=1,10,0)+MEDIAN(0,I69/4,18)+M69*8+IF(E69&lt;D69,12,0)+IF(P69="Atrasado",10,0)+IF(O69&lt;0,8,0),100),0))</f>
        <v/>
      </c>
      <c r="AA69" s="13" t="str">
        <f aca="false">IF(N69="","",IF(OR(E69=0,Y69&lt;45,Z69&gt;=65,AND(R69&lt;=60,Y69&lt;60,E69&gt;0)),"Vermelho",IF(OR(AND(Y69&gt;=45,Y69&lt;70),AND(Z69&gt;=45,Z69&lt;65)),"Amarelo","Verde")))</f>
        <v/>
      </c>
      <c r="AB69" s="13" t="str">
        <f aca="false">IF($A69="","",IF(AND(E69&gt;0,OR(S69&gt;=0.85,AND(Y69&gt;=75,O69&gt;=8,E69&gt;=D69,S69&gt;=0.7))),"Sim","Não"))</f>
        <v/>
      </c>
      <c r="AC69" s="15" t="str">
        <f aca="false">IF($A69="","",IF(AB69="Sim",ROUND(E69*0.25,0),0))</f>
        <v/>
      </c>
    </row>
    <row r="70" customFormat="false" ht="15" hidden="false" customHeight="false" outlineLevel="0" collapsed="false">
      <c r="A70" s="16"/>
      <c r="B70" s="16"/>
      <c r="C70" s="16"/>
      <c r="D70" s="17"/>
      <c r="E70" s="17"/>
      <c r="F70" s="17"/>
      <c r="G70" s="17"/>
      <c r="H70" s="17"/>
      <c r="I70" s="17"/>
      <c r="J70" s="16"/>
      <c r="K70" s="17"/>
      <c r="L70" s="17"/>
      <c r="M70" s="17"/>
      <c r="N70" s="17"/>
      <c r="O70" s="17"/>
      <c r="P70" s="16"/>
      <c r="Q70" s="16"/>
      <c r="R70" s="17"/>
      <c r="S70" s="18" t="str">
        <f aca="false">IF($A70="","",IF(F70=0,0,G70/F70))</f>
        <v/>
      </c>
      <c r="T70" s="19" t="str">
        <f aca="false">IF($A70="","",MEDIAN(0,0.6*(S70*100)+0.4*H70,100))</f>
        <v/>
      </c>
      <c r="U70" s="19" t="str">
        <f aca="false">IF($A70="","",MEDIAN(0,IF(J70="Sim",45,0)+MEDIAN(0,K70*10,30)+MEDIAN(0,25-I70/3,25),100))</f>
        <v/>
      </c>
      <c r="V70" s="19" t="str">
        <f aca="false">IF($A70="","",MEDIAN(0,0.5*N70+0.3*MEDIAN(0,100-L70*12,100)+0.2*MEDIAN(0,100-M70*40,100),100))</f>
        <v/>
      </c>
      <c r="W70" s="19" t="str">
        <f aca="false">IF($A70="","",MEDIAN(0,IF(P70="Em dia",60,20)+IF(E70&gt;=D70,40,IF(E70&gt;=D70*0.85,20,0)),100))</f>
        <v/>
      </c>
      <c r="X70" s="19" t="str">
        <f aca="false">IF($A70="","",MEDIAN(0,(O70+100)/2,100))</f>
        <v/>
      </c>
      <c r="Y70" s="20" t="str">
        <f aca="false">IF($A70="","",ROUND(0.35*T70+0.2*U70+0.2*V70+0.15*W70+0.1*X70,0))</f>
        <v/>
      </c>
      <c r="Z70" s="20" t="str">
        <f aca="false">IF($A70="","",ROUND(MEDIAN(0,(1-S70)*25+IF(H70&lt;40,15,IF(H70&lt;60,7,0))+IF(J70="Sim",0,18)+IF(K70&lt;=1,10,0)+MEDIAN(0,I70/4,18)+M70*8+IF(E70&lt;D70,12,0)+IF(P70="Atrasado",10,0)+IF(O70&lt;0,8,0),100),0))</f>
        <v/>
      </c>
      <c r="AA70" s="19" t="str">
        <f aca="false">IF(N70="","",IF(OR(E70=0,Y70&lt;45,Z70&gt;=65,AND(R70&lt;=60,Y70&lt;60,E70&gt;0)),"Vermelho",IF(OR(AND(Y70&gt;=45,Y70&lt;70),AND(Z70&gt;=45,Z70&lt;65)),"Amarelo","Verde")))</f>
        <v/>
      </c>
      <c r="AB70" s="19" t="str">
        <f aca="false">IF($A70="","",IF(AND(E70&gt;0,OR(S70&gt;=0.85,AND(Y70&gt;=75,O70&gt;=8,E70&gt;=D70,S70&gt;=0.7))),"Sim","Não"))</f>
        <v/>
      </c>
      <c r="AC70" s="21" t="str">
        <f aca="false">IF($A70="","",IF(AB70="Sim",ROUND(E70*0.25,0),0))</f>
        <v/>
      </c>
    </row>
    <row r="71" customFormat="false" ht="15" hidden="false" customHeight="false" outlineLevel="0" collapsed="false">
      <c r="A71" s="10"/>
      <c r="B71" s="10"/>
      <c r="C71" s="10"/>
      <c r="D71" s="11"/>
      <c r="E71" s="11"/>
      <c r="F71" s="11"/>
      <c r="G71" s="11"/>
      <c r="H71" s="11"/>
      <c r="I71" s="11"/>
      <c r="J71" s="10"/>
      <c r="K71" s="11"/>
      <c r="L71" s="11"/>
      <c r="M71" s="11"/>
      <c r="N71" s="11"/>
      <c r="O71" s="11"/>
      <c r="P71" s="10"/>
      <c r="Q71" s="10"/>
      <c r="R71" s="11"/>
      <c r="S71" s="12" t="str">
        <f aca="false">IF($A71="","",IF(F71=0,0,G71/F71))</f>
        <v/>
      </c>
      <c r="T71" s="13" t="str">
        <f aca="false">IF($A71="","",MEDIAN(0,0.6*(S71*100)+0.4*H71,100))</f>
        <v/>
      </c>
      <c r="U71" s="13" t="str">
        <f aca="false">IF($A71="","",MEDIAN(0,IF(J71="Sim",45,0)+MEDIAN(0,K71*10,30)+MEDIAN(0,25-I71/3,25),100))</f>
        <v/>
      </c>
      <c r="V71" s="13" t="str">
        <f aca="false">IF($A71="","",MEDIAN(0,0.5*N71+0.3*MEDIAN(0,100-L71*12,100)+0.2*MEDIAN(0,100-M71*40,100),100))</f>
        <v/>
      </c>
      <c r="W71" s="13" t="str">
        <f aca="false">IF($A71="","",MEDIAN(0,IF(P71="Em dia",60,20)+IF(E71&gt;=D71,40,IF(E71&gt;=D71*0.85,20,0)),100))</f>
        <v/>
      </c>
      <c r="X71" s="13" t="str">
        <f aca="false">IF($A71="","",MEDIAN(0,(O71+100)/2,100))</f>
        <v/>
      </c>
      <c r="Y71" s="14" t="str">
        <f aca="false">IF($A71="","",ROUND(0.35*T71+0.2*U71+0.2*V71+0.15*W71+0.1*X71,0))</f>
        <v/>
      </c>
      <c r="Z71" s="14" t="str">
        <f aca="false">IF($A71="","",ROUND(MEDIAN(0,(1-S71)*25+IF(H71&lt;40,15,IF(H71&lt;60,7,0))+IF(J71="Sim",0,18)+IF(K71&lt;=1,10,0)+MEDIAN(0,I71/4,18)+M71*8+IF(E71&lt;D71,12,0)+IF(P71="Atrasado",10,0)+IF(O71&lt;0,8,0),100),0))</f>
        <v/>
      </c>
      <c r="AA71" s="13" t="str">
        <f aca="false">IF(N71="","",IF(OR(E71=0,Y71&lt;45,Z71&gt;=65,AND(R71&lt;=60,Y71&lt;60,E71&gt;0)),"Vermelho",IF(OR(AND(Y71&gt;=45,Y71&lt;70),AND(Z71&gt;=45,Z71&lt;65)),"Amarelo","Verde")))</f>
        <v/>
      </c>
      <c r="AB71" s="13" t="str">
        <f aca="false">IF($A71="","",IF(AND(E71&gt;0,OR(S71&gt;=0.85,AND(Y71&gt;=75,O71&gt;=8,E71&gt;=D71,S71&gt;=0.7))),"Sim","Não"))</f>
        <v/>
      </c>
      <c r="AC71" s="15" t="str">
        <f aca="false">IF($A71="","",IF(AB71="Sim",ROUND(E71*0.25,0),0))</f>
        <v/>
      </c>
    </row>
    <row r="72" customFormat="false" ht="15" hidden="false" customHeight="false" outlineLevel="0" collapsed="false">
      <c r="A72" s="16"/>
      <c r="B72" s="16"/>
      <c r="C72" s="16"/>
      <c r="D72" s="17"/>
      <c r="E72" s="17"/>
      <c r="F72" s="17"/>
      <c r="G72" s="17"/>
      <c r="H72" s="17"/>
      <c r="I72" s="17"/>
      <c r="J72" s="16"/>
      <c r="K72" s="17"/>
      <c r="L72" s="17"/>
      <c r="M72" s="17"/>
      <c r="N72" s="17"/>
      <c r="O72" s="17"/>
      <c r="P72" s="16"/>
      <c r="Q72" s="16"/>
      <c r="R72" s="17"/>
      <c r="S72" s="18" t="str">
        <f aca="false">IF($A72="","",IF(F72=0,0,G72/F72))</f>
        <v/>
      </c>
      <c r="T72" s="19" t="str">
        <f aca="false">IF($A72="","",MEDIAN(0,0.6*(S72*100)+0.4*H72,100))</f>
        <v/>
      </c>
      <c r="U72" s="19" t="str">
        <f aca="false">IF($A72="","",MEDIAN(0,IF(J72="Sim",45,0)+MEDIAN(0,K72*10,30)+MEDIAN(0,25-I72/3,25),100))</f>
        <v/>
      </c>
      <c r="V72" s="19" t="str">
        <f aca="false">IF($A72="","",MEDIAN(0,0.5*N72+0.3*MEDIAN(0,100-L72*12,100)+0.2*MEDIAN(0,100-M72*40,100),100))</f>
        <v/>
      </c>
      <c r="W72" s="19" t="str">
        <f aca="false">IF($A72="","",MEDIAN(0,IF(P72="Em dia",60,20)+IF(E72&gt;=D72,40,IF(E72&gt;=D72*0.85,20,0)),100))</f>
        <v/>
      </c>
      <c r="X72" s="19" t="str">
        <f aca="false">IF($A72="","",MEDIAN(0,(O72+100)/2,100))</f>
        <v/>
      </c>
      <c r="Y72" s="20" t="str">
        <f aca="false">IF($A72="","",ROUND(0.35*T72+0.2*U72+0.2*V72+0.15*W72+0.1*X72,0))</f>
        <v/>
      </c>
      <c r="Z72" s="20" t="str">
        <f aca="false">IF($A72="","",ROUND(MEDIAN(0,(1-S72)*25+IF(H72&lt;40,15,IF(H72&lt;60,7,0))+IF(J72="Sim",0,18)+IF(K72&lt;=1,10,0)+MEDIAN(0,I72/4,18)+M72*8+IF(E72&lt;D72,12,0)+IF(P72="Atrasado",10,0)+IF(O72&lt;0,8,0),100),0))</f>
        <v/>
      </c>
      <c r="AA72" s="19" t="str">
        <f aca="false">IF(N72="","",IF(OR(E72=0,Y72&lt;45,Z72&gt;=65,AND(R72&lt;=60,Y72&lt;60,E72&gt;0)),"Vermelho",IF(OR(AND(Y72&gt;=45,Y72&lt;70),AND(Z72&gt;=45,Z72&lt;65)),"Amarelo","Verde")))</f>
        <v/>
      </c>
      <c r="AB72" s="19" t="str">
        <f aca="false">IF($A72="","",IF(AND(E72&gt;0,OR(S72&gt;=0.85,AND(Y72&gt;=75,O72&gt;=8,E72&gt;=D72,S72&gt;=0.7))),"Sim","Não"))</f>
        <v/>
      </c>
      <c r="AC72" s="21" t="str">
        <f aca="false">IF($A72="","",IF(AB72="Sim",ROUND(E72*0.25,0),0))</f>
        <v/>
      </c>
    </row>
    <row r="73" customFormat="false" ht="15" hidden="false" customHeight="false" outlineLevel="0" collapsed="false">
      <c r="A73" s="10"/>
      <c r="B73" s="10"/>
      <c r="C73" s="10"/>
      <c r="D73" s="11"/>
      <c r="E73" s="11"/>
      <c r="F73" s="11"/>
      <c r="G73" s="11"/>
      <c r="H73" s="11"/>
      <c r="I73" s="11"/>
      <c r="J73" s="10"/>
      <c r="K73" s="11"/>
      <c r="L73" s="11"/>
      <c r="M73" s="11"/>
      <c r="N73" s="11"/>
      <c r="O73" s="11"/>
      <c r="P73" s="10"/>
      <c r="Q73" s="10"/>
      <c r="R73" s="11"/>
      <c r="S73" s="12" t="str">
        <f aca="false">IF($A73="","",IF(F73=0,0,G73/F73))</f>
        <v/>
      </c>
      <c r="T73" s="13" t="str">
        <f aca="false">IF($A73="","",MEDIAN(0,0.6*(S73*100)+0.4*H73,100))</f>
        <v/>
      </c>
      <c r="U73" s="13" t="str">
        <f aca="false">IF($A73="","",MEDIAN(0,IF(J73="Sim",45,0)+MEDIAN(0,K73*10,30)+MEDIAN(0,25-I73/3,25),100))</f>
        <v/>
      </c>
      <c r="V73" s="13" t="str">
        <f aca="false">IF($A73="","",MEDIAN(0,0.5*N73+0.3*MEDIAN(0,100-L73*12,100)+0.2*MEDIAN(0,100-M73*40,100),100))</f>
        <v/>
      </c>
      <c r="W73" s="13" t="str">
        <f aca="false">IF($A73="","",MEDIAN(0,IF(P73="Em dia",60,20)+IF(E73&gt;=D73,40,IF(E73&gt;=D73*0.85,20,0)),100))</f>
        <v/>
      </c>
      <c r="X73" s="13" t="str">
        <f aca="false">IF($A73="","",MEDIAN(0,(O73+100)/2,100))</f>
        <v/>
      </c>
      <c r="Y73" s="14" t="str">
        <f aca="false">IF($A73="","",ROUND(0.35*T73+0.2*U73+0.2*V73+0.15*W73+0.1*X73,0))</f>
        <v/>
      </c>
      <c r="Z73" s="14" t="str">
        <f aca="false">IF($A73="","",ROUND(MEDIAN(0,(1-S73)*25+IF(H73&lt;40,15,IF(H73&lt;60,7,0))+IF(J73="Sim",0,18)+IF(K73&lt;=1,10,0)+MEDIAN(0,I73/4,18)+M73*8+IF(E73&lt;D73,12,0)+IF(P73="Atrasado",10,0)+IF(O73&lt;0,8,0),100),0))</f>
        <v/>
      </c>
      <c r="AA73" s="13" t="str">
        <f aca="false">IF(N73="","",IF(OR(E73=0,Y73&lt;45,Z73&gt;=65,AND(R73&lt;=60,Y73&lt;60,E73&gt;0)),"Vermelho",IF(OR(AND(Y73&gt;=45,Y73&lt;70),AND(Z73&gt;=45,Z73&lt;65)),"Amarelo","Verde")))</f>
        <v/>
      </c>
      <c r="AB73" s="13" t="str">
        <f aca="false">IF($A73="","",IF(AND(E73&gt;0,OR(S73&gt;=0.85,AND(Y73&gt;=75,O73&gt;=8,E73&gt;=D73,S73&gt;=0.7))),"Sim","Não"))</f>
        <v/>
      </c>
      <c r="AC73" s="15" t="str">
        <f aca="false">IF($A73="","",IF(AB73="Sim",ROUND(E73*0.25,0),0))</f>
        <v/>
      </c>
    </row>
    <row r="74" customFormat="false" ht="15" hidden="false" customHeight="false" outlineLevel="0" collapsed="false">
      <c r="A74" s="16"/>
      <c r="B74" s="16"/>
      <c r="C74" s="16"/>
      <c r="D74" s="17"/>
      <c r="E74" s="17"/>
      <c r="F74" s="17"/>
      <c r="G74" s="17"/>
      <c r="H74" s="17"/>
      <c r="I74" s="17"/>
      <c r="J74" s="16"/>
      <c r="K74" s="17"/>
      <c r="L74" s="17"/>
      <c r="M74" s="17"/>
      <c r="N74" s="17"/>
      <c r="O74" s="17"/>
      <c r="P74" s="16"/>
      <c r="Q74" s="16"/>
      <c r="R74" s="17"/>
      <c r="S74" s="18" t="str">
        <f aca="false">IF($A74="","",IF(F74=0,0,G74/F74))</f>
        <v/>
      </c>
      <c r="T74" s="19" t="str">
        <f aca="false">IF($A74="","",MEDIAN(0,0.6*(S74*100)+0.4*H74,100))</f>
        <v/>
      </c>
      <c r="U74" s="19" t="str">
        <f aca="false">IF($A74="","",MEDIAN(0,IF(J74="Sim",45,0)+MEDIAN(0,K74*10,30)+MEDIAN(0,25-I74/3,25),100))</f>
        <v/>
      </c>
      <c r="V74" s="19" t="str">
        <f aca="false">IF($A74="","",MEDIAN(0,0.5*N74+0.3*MEDIAN(0,100-L74*12,100)+0.2*MEDIAN(0,100-M74*40,100),100))</f>
        <v/>
      </c>
      <c r="W74" s="19" t="str">
        <f aca="false">IF($A74="","",MEDIAN(0,IF(P74="Em dia",60,20)+IF(E74&gt;=D74,40,IF(E74&gt;=D74*0.85,20,0)),100))</f>
        <v/>
      </c>
      <c r="X74" s="19" t="str">
        <f aca="false">IF($A74="","",MEDIAN(0,(O74+100)/2,100))</f>
        <v/>
      </c>
      <c r="Y74" s="20" t="str">
        <f aca="false">IF($A74="","",ROUND(0.35*T74+0.2*U74+0.2*V74+0.15*W74+0.1*X74,0))</f>
        <v/>
      </c>
      <c r="Z74" s="20" t="str">
        <f aca="false">IF($A74="","",ROUND(MEDIAN(0,(1-S74)*25+IF(H74&lt;40,15,IF(H74&lt;60,7,0))+IF(J74="Sim",0,18)+IF(K74&lt;=1,10,0)+MEDIAN(0,I74/4,18)+M74*8+IF(E74&lt;D74,12,0)+IF(P74="Atrasado",10,0)+IF(O74&lt;0,8,0),100),0))</f>
        <v/>
      </c>
      <c r="AA74" s="19" t="str">
        <f aca="false">IF(N74="","",IF(OR(E74=0,Y74&lt;45,Z74&gt;=65,AND(R74&lt;=60,Y74&lt;60,E74&gt;0)),"Vermelho",IF(OR(AND(Y74&gt;=45,Y74&lt;70),AND(Z74&gt;=45,Z74&lt;65)),"Amarelo","Verde")))</f>
        <v/>
      </c>
      <c r="AB74" s="19" t="str">
        <f aca="false">IF($A74="","",IF(AND(E74&gt;0,OR(S74&gt;=0.85,AND(Y74&gt;=75,O74&gt;=8,E74&gt;=D74,S74&gt;=0.7))),"Sim","Não"))</f>
        <v/>
      </c>
      <c r="AC74" s="21" t="str">
        <f aca="false">IF($A74="","",IF(AB74="Sim",ROUND(E74*0.25,0),0))</f>
        <v/>
      </c>
    </row>
    <row r="75" customFormat="false" ht="15" hidden="false" customHeight="false" outlineLevel="0" collapsed="false">
      <c r="A75" s="10"/>
      <c r="B75" s="10"/>
      <c r="C75" s="10"/>
      <c r="D75" s="11"/>
      <c r="E75" s="11"/>
      <c r="F75" s="11"/>
      <c r="G75" s="11"/>
      <c r="H75" s="11"/>
      <c r="I75" s="11"/>
      <c r="J75" s="10"/>
      <c r="K75" s="11"/>
      <c r="L75" s="11"/>
      <c r="M75" s="11"/>
      <c r="N75" s="11"/>
      <c r="O75" s="11"/>
      <c r="P75" s="10"/>
      <c r="Q75" s="10"/>
      <c r="R75" s="11"/>
      <c r="S75" s="12" t="str">
        <f aca="false">IF($A75="","",IF(F75=0,0,G75/F75))</f>
        <v/>
      </c>
      <c r="T75" s="13" t="str">
        <f aca="false">IF($A75="","",MEDIAN(0,0.6*(S75*100)+0.4*H75,100))</f>
        <v/>
      </c>
      <c r="U75" s="13" t="str">
        <f aca="false">IF($A75="","",MEDIAN(0,IF(J75="Sim",45,0)+MEDIAN(0,K75*10,30)+MEDIAN(0,25-I75/3,25),100))</f>
        <v/>
      </c>
      <c r="V75" s="13" t="str">
        <f aca="false">IF($A75="","",MEDIAN(0,0.5*N75+0.3*MEDIAN(0,100-L75*12,100)+0.2*MEDIAN(0,100-M75*40,100),100))</f>
        <v/>
      </c>
      <c r="W75" s="13" t="str">
        <f aca="false">IF($A75="","",MEDIAN(0,IF(P75="Em dia",60,20)+IF(E75&gt;=D75,40,IF(E75&gt;=D75*0.85,20,0)),100))</f>
        <v/>
      </c>
      <c r="X75" s="13" t="str">
        <f aca="false">IF($A75="","",MEDIAN(0,(O75+100)/2,100))</f>
        <v/>
      </c>
      <c r="Y75" s="14" t="str">
        <f aca="false">IF($A75="","",ROUND(0.35*T75+0.2*U75+0.2*V75+0.15*W75+0.1*X75,0))</f>
        <v/>
      </c>
      <c r="Z75" s="14" t="str">
        <f aca="false">IF($A75="","",ROUND(MEDIAN(0,(1-S75)*25+IF(H75&lt;40,15,IF(H75&lt;60,7,0))+IF(J75="Sim",0,18)+IF(K75&lt;=1,10,0)+MEDIAN(0,I75/4,18)+M75*8+IF(E75&lt;D75,12,0)+IF(P75="Atrasado",10,0)+IF(O75&lt;0,8,0),100),0))</f>
        <v/>
      </c>
      <c r="AA75" s="13" t="str">
        <f aca="false">IF(N75="","",IF(OR(E75=0,Y75&lt;45,Z75&gt;=65,AND(R75&lt;=60,Y75&lt;60,E75&gt;0)),"Vermelho",IF(OR(AND(Y75&gt;=45,Y75&lt;70),AND(Z75&gt;=45,Z75&lt;65)),"Amarelo","Verde")))</f>
        <v/>
      </c>
      <c r="AB75" s="13" t="str">
        <f aca="false">IF($A75="","",IF(AND(E75&gt;0,OR(S75&gt;=0.85,AND(Y75&gt;=75,O75&gt;=8,E75&gt;=D75,S75&gt;=0.7))),"Sim","Não"))</f>
        <v/>
      </c>
      <c r="AC75" s="15" t="str">
        <f aca="false">IF($A75="","",IF(AB75="Sim",ROUND(E75*0.25,0),0))</f>
        <v/>
      </c>
    </row>
    <row r="76" customFormat="false" ht="15" hidden="false" customHeight="false" outlineLevel="0" collapsed="false">
      <c r="A76" s="16"/>
      <c r="B76" s="16"/>
      <c r="C76" s="16"/>
      <c r="D76" s="17"/>
      <c r="E76" s="17"/>
      <c r="F76" s="17"/>
      <c r="G76" s="17"/>
      <c r="H76" s="17"/>
      <c r="I76" s="17"/>
      <c r="J76" s="16"/>
      <c r="K76" s="17"/>
      <c r="L76" s="17"/>
      <c r="M76" s="17"/>
      <c r="N76" s="17"/>
      <c r="O76" s="17"/>
      <c r="P76" s="16"/>
      <c r="Q76" s="16"/>
      <c r="R76" s="17"/>
      <c r="S76" s="18" t="str">
        <f aca="false">IF($A76="","",IF(F76=0,0,G76/F76))</f>
        <v/>
      </c>
      <c r="T76" s="19" t="str">
        <f aca="false">IF($A76="","",MEDIAN(0,0.6*(S76*100)+0.4*H76,100))</f>
        <v/>
      </c>
      <c r="U76" s="19" t="str">
        <f aca="false">IF($A76="","",MEDIAN(0,IF(J76="Sim",45,0)+MEDIAN(0,K76*10,30)+MEDIAN(0,25-I76/3,25),100))</f>
        <v/>
      </c>
      <c r="V76" s="19" t="str">
        <f aca="false">IF($A76="","",MEDIAN(0,0.5*N76+0.3*MEDIAN(0,100-L76*12,100)+0.2*MEDIAN(0,100-M76*40,100),100))</f>
        <v/>
      </c>
      <c r="W76" s="19" t="str">
        <f aca="false">IF($A76="","",MEDIAN(0,IF(P76="Em dia",60,20)+IF(E76&gt;=D76,40,IF(E76&gt;=D76*0.85,20,0)),100))</f>
        <v/>
      </c>
      <c r="X76" s="19" t="str">
        <f aca="false">IF($A76="","",MEDIAN(0,(O76+100)/2,100))</f>
        <v/>
      </c>
      <c r="Y76" s="20" t="str">
        <f aca="false">IF($A76="","",ROUND(0.35*T76+0.2*U76+0.2*V76+0.15*W76+0.1*X76,0))</f>
        <v/>
      </c>
      <c r="Z76" s="20" t="str">
        <f aca="false">IF($A76="","",ROUND(MEDIAN(0,(1-S76)*25+IF(H76&lt;40,15,IF(H76&lt;60,7,0))+IF(J76="Sim",0,18)+IF(K76&lt;=1,10,0)+MEDIAN(0,I76/4,18)+M76*8+IF(E76&lt;D76,12,0)+IF(P76="Atrasado",10,0)+IF(O76&lt;0,8,0),100),0))</f>
        <v/>
      </c>
      <c r="AA76" s="19" t="str">
        <f aca="false">IF(N76="","",IF(OR(E76=0,Y76&lt;45,Z76&gt;=65,AND(R76&lt;=60,Y76&lt;60,E76&gt;0)),"Vermelho",IF(OR(AND(Y76&gt;=45,Y76&lt;70),AND(Z76&gt;=45,Z76&lt;65)),"Amarelo","Verde")))</f>
        <v/>
      </c>
      <c r="AB76" s="19" t="str">
        <f aca="false">IF($A76="","",IF(AND(E76&gt;0,OR(S76&gt;=0.85,AND(Y76&gt;=75,O76&gt;=8,E76&gt;=D76,S76&gt;=0.7))),"Sim","Não"))</f>
        <v/>
      </c>
      <c r="AC76" s="21" t="str">
        <f aca="false">IF($A76="","",IF(AB76="Sim",ROUND(E76*0.25,0),0))</f>
        <v/>
      </c>
    </row>
    <row r="77" customFormat="false" ht="15" hidden="false" customHeight="false" outlineLevel="0" collapsed="false">
      <c r="A77" s="10"/>
      <c r="B77" s="10"/>
      <c r="C77" s="10"/>
      <c r="D77" s="11"/>
      <c r="E77" s="11"/>
      <c r="F77" s="11"/>
      <c r="G77" s="11"/>
      <c r="H77" s="11"/>
      <c r="I77" s="11"/>
      <c r="J77" s="10"/>
      <c r="K77" s="11"/>
      <c r="L77" s="11"/>
      <c r="M77" s="11"/>
      <c r="N77" s="11"/>
      <c r="O77" s="11"/>
      <c r="P77" s="10"/>
      <c r="Q77" s="10"/>
      <c r="R77" s="11"/>
      <c r="S77" s="12" t="str">
        <f aca="false">IF($A77="","",IF(F77=0,0,G77/F77))</f>
        <v/>
      </c>
      <c r="T77" s="13" t="str">
        <f aca="false">IF($A77="","",MEDIAN(0,0.6*(S77*100)+0.4*H77,100))</f>
        <v/>
      </c>
      <c r="U77" s="13" t="str">
        <f aca="false">IF($A77="","",MEDIAN(0,IF(J77="Sim",45,0)+MEDIAN(0,K77*10,30)+MEDIAN(0,25-I77/3,25),100))</f>
        <v/>
      </c>
      <c r="V77" s="13" t="str">
        <f aca="false">IF($A77="","",MEDIAN(0,0.5*N77+0.3*MEDIAN(0,100-L77*12,100)+0.2*MEDIAN(0,100-M77*40,100),100))</f>
        <v/>
      </c>
      <c r="W77" s="13" t="str">
        <f aca="false">IF($A77="","",MEDIAN(0,IF(P77="Em dia",60,20)+IF(E77&gt;=D77,40,IF(E77&gt;=D77*0.85,20,0)),100))</f>
        <v/>
      </c>
      <c r="X77" s="13" t="str">
        <f aca="false">IF($A77="","",MEDIAN(0,(O77+100)/2,100))</f>
        <v/>
      </c>
      <c r="Y77" s="14" t="str">
        <f aca="false">IF($A77="","",ROUND(0.35*T77+0.2*U77+0.2*V77+0.15*W77+0.1*X77,0))</f>
        <v/>
      </c>
      <c r="Z77" s="14" t="str">
        <f aca="false">IF($A77="","",ROUND(MEDIAN(0,(1-S77)*25+IF(H77&lt;40,15,IF(H77&lt;60,7,0))+IF(J77="Sim",0,18)+IF(K77&lt;=1,10,0)+MEDIAN(0,I77/4,18)+M77*8+IF(E77&lt;D77,12,0)+IF(P77="Atrasado",10,0)+IF(O77&lt;0,8,0),100),0))</f>
        <v/>
      </c>
      <c r="AA77" s="13" t="str">
        <f aca="false">IF(N77="","",IF(OR(E77=0,Y77&lt;45,Z77&gt;=65,AND(R77&lt;=60,Y77&lt;60,E77&gt;0)),"Vermelho",IF(OR(AND(Y77&gt;=45,Y77&lt;70),AND(Z77&gt;=45,Z77&lt;65)),"Amarelo","Verde")))</f>
        <v/>
      </c>
      <c r="AB77" s="13" t="str">
        <f aca="false">IF($A77="","",IF(AND(E77&gt;0,OR(S77&gt;=0.85,AND(Y77&gt;=75,O77&gt;=8,E77&gt;=D77,S77&gt;=0.7))),"Sim","Não"))</f>
        <v/>
      </c>
      <c r="AC77" s="15" t="str">
        <f aca="false">IF($A77="","",IF(AB77="Sim",ROUND(E77*0.25,0),0))</f>
        <v/>
      </c>
    </row>
    <row r="78" customFormat="false" ht="15" hidden="false" customHeight="false" outlineLevel="0" collapsed="false">
      <c r="A78" s="16"/>
      <c r="B78" s="16"/>
      <c r="C78" s="16"/>
      <c r="D78" s="17"/>
      <c r="E78" s="17"/>
      <c r="F78" s="17"/>
      <c r="G78" s="17"/>
      <c r="H78" s="17"/>
      <c r="I78" s="17"/>
      <c r="J78" s="16"/>
      <c r="K78" s="17"/>
      <c r="L78" s="17"/>
      <c r="M78" s="17"/>
      <c r="N78" s="17"/>
      <c r="O78" s="17"/>
      <c r="P78" s="16"/>
      <c r="Q78" s="16"/>
      <c r="R78" s="17"/>
      <c r="S78" s="18" t="str">
        <f aca="false">IF($A78="","",IF(F78=0,0,G78/F78))</f>
        <v/>
      </c>
      <c r="T78" s="19" t="str">
        <f aca="false">IF($A78="","",MEDIAN(0,0.6*(S78*100)+0.4*H78,100))</f>
        <v/>
      </c>
      <c r="U78" s="19" t="str">
        <f aca="false">IF($A78="","",MEDIAN(0,IF(J78="Sim",45,0)+MEDIAN(0,K78*10,30)+MEDIAN(0,25-I78/3,25),100))</f>
        <v/>
      </c>
      <c r="V78" s="19" t="str">
        <f aca="false">IF($A78="","",MEDIAN(0,0.5*N78+0.3*MEDIAN(0,100-L78*12,100)+0.2*MEDIAN(0,100-M78*40,100),100))</f>
        <v/>
      </c>
      <c r="W78" s="19" t="str">
        <f aca="false">IF($A78="","",MEDIAN(0,IF(P78="Em dia",60,20)+IF(E78&gt;=D78,40,IF(E78&gt;=D78*0.85,20,0)),100))</f>
        <v/>
      </c>
      <c r="X78" s="19" t="str">
        <f aca="false">IF($A78="","",MEDIAN(0,(O78+100)/2,100))</f>
        <v/>
      </c>
      <c r="Y78" s="20" t="str">
        <f aca="false">IF($A78="","",ROUND(0.35*T78+0.2*U78+0.2*V78+0.15*W78+0.1*X78,0))</f>
        <v/>
      </c>
      <c r="Z78" s="20" t="str">
        <f aca="false">IF($A78="","",ROUND(MEDIAN(0,(1-S78)*25+IF(H78&lt;40,15,IF(H78&lt;60,7,0))+IF(J78="Sim",0,18)+IF(K78&lt;=1,10,0)+MEDIAN(0,I78/4,18)+M78*8+IF(E78&lt;D78,12,0)+IF(P78="Atrasado",10,0)+IF(O78&lt;0,8,0),100),0))</f>
        <v/>
      </c>
      <c r="AA78" s="19" t="str">
        <f aca="false">IF(N78="","",IF(OR(E78=0,Y78&lt;45,Z78&gt;=65,AND(R78&lt;=60,Y78&lt;60,E78&gt;0)),"Vermelho",IF(OR(AND(Y78&gt;=45,Y78&lt;70),AND(Z78&gt;=45,Z78&lt;65)),"Amarelo","Verde")))</f>
        <v/>
      </c>
      <c r="AB78" s="19" t="str">
        <f aca="false">IF($A78="","",IF(AND(E78&gt;0,OR(S78&gt;=0.85,AND(Y78&gt;=75,O78&gt;=8,E78&gt;=D78,S78&gt;=0.7))),"Sim","Não"))</f>
        <v/>
      </c>
      <c r="AC78" s="21" t="str">
        <f aca="false">IF($A78="","",IF(AB78="Sim",ROUND(E78*0.25,0),0))</f>
        <v/>
      </c>
    </row>
    <row r="79" customFormat="false" ht="15" hidden="false" customHeight="false" outlineLevel="0" collapsed="false">
      <c r="A79" s="10"/>
      <c r="B79" s="10"/>
      <c r="C79" s="10"/>
      <c r="D79" s="11"/>
      <c r="E79" s="11"/>
      <c r="F79" s="11"/>
      <c r="G79" s="11"/>
      <c r="H79" s="11"/>
      <c r="I79" s="11"/>
      <c r="J79" s="10"/>
      <c r="K79" s="11"/>
      <c r="L79" s="11"/>
      <c r="M79" s="11"/>
      <c r="N79" s="11"/>
      <c r="O79" s="11"/>
      <c r="P79" s="10"/>
      <c r="Q79" s="10"/>
      <c r="R79" s="11"/>
      <c r="S79" s="12" t="str">
        <f aca="false">IF($A79="","",IF(F79=0,0,G79/F79))</f>
        <v/>
      </c>
      <c r="T79" s="13" t="str">
        <f aca="false">IF($A79="","",MEDIAN(0,0.6*(S79*100)+0.4*H79,100))</f>
        <v/>
      </c>
      <c r="U79" s="13" t="str">
        <f aca="false">IF($A79="","",MEDIAN(0,IF(J79="Sim",45,0)+MEDIAN(0,K79*10,30)+MEDIAN(0,25-I79/3,25),100))</f>
        <v/>
      </c>
      <c r="V79" s="13" t="str">
        <f aca="false">IF($A79="","",MEDIAN(0,0.5*N79+0.3*MEDIAN(0,100-L79*12,100)+0.2*MEDIAN(0,100-M79*40,100),100))</f>
        <v/>
      </c>
      <c r="W79" s="13" t="str">
        <f aca="false">IF($A79="","",MEDIAN(0,IF(P79="Em dia",60,20)+IF(E79&gt;=D79,40,IF(E79&gt;=D79*0.85,20,0)),100))</f>
        <v/>
      </c>
      <c r="X79" s="13" t="str">
        <f aca="false">IF($A79="","",MEDIAN(0,(O79+100)/2,100))</f>
        <v/>
      </c>
      <c r="Y79" s="14" t="str">
        <f aca="false">IF($A79="","",ROUND(0.35*T79+0.2*U79+0.2*V79+0.15*W79+0.1*X79,0))</f>
        <v/>
      </c>
      <c r="Z79" s="14" t="str">
        <f aca="false">IF($A79="","",ROUND(MEDIAN(0,(1-S79)*25+IF(H79&lt;40,15,IF(H79&lt;60,7,0))+IF(J79="Sim",0,18)+IF(K79&lt;=1,10,0)+MEDIAN(0,I79/4,18)+M79*8+IF(E79&lt;D79,12,0)+IF(P79="Atrasado",10,0)+IF(O79&lt;0,8,0),100),0))</f>
        <v/>
      </c>
      <c r="AA79" s="13" t="str">
        <f aca="false">IF(N79="","",IF(OR(E79=0,Y79&lt;45,Z79&gt;=65,AND(R79&lt;=60,Y79&lt;60,E79&gt;0)),"Vermelho",IF(OR(AND(Y79&gt;=45,Y79&lt;70),AND(Z79&gt;=45,Z79&lt;65)),"Amarelo","Verde")))</f>
        <v/>
      </c>
      <c r="AB79" s="13" t="str">
        <f aca="false">IF($A79="","",IF(AND(E79&gt;0,OR(S79&gt;=0.85,AND(Y79&gt;=75,O79&gt;=8,E79&gt;=D79,S79&gt;=0.7))),"Sim","Não"))</f>
        <v/>
      </c>
      <c r="AC79" s="15" t="str">
        <f aca="false">IF($A79="","",IF(AB79="Sim",ROUND(E79*0.25,0),0))</f>
        <v/>
      </c>
    </row>
    <row r="80" customFormat="false" ht="15" hidden="false" customHeight="false" outlineLevel="0" collapsed="false">
      <c r="A80" s="16"/>
      <c r="B80" s="16"/>
      <c r="C80" s="16"/>
      <c r="D80" s="17"/>
      <c r="E80" s="17"/>
      <c r="F80" s="17"/>
      <c r="G80" s="17"/>
      <c r="H80" s="17"/>
      <c r="I80" s="17"/>
      <c r="J80" s="16"/>
      <c r="K80" s="17"/>
      <c r="L80" s="17"/>
      <c r="M80" s="17"/>
      <c r="N80" s="17"/>
      <c r="O80" s="17"/>
      <c r="P80" s="16"/>
      <c r="Q80" s="16"/>
      <c r="R80" s="17"/>
      <c r="S80" s="18" t="str">
        <f aca="false">IF($A80="","",IF(F80=0,0,G80/F80))</f>
        <v/>
      </c>
      <c r="T80" s="19" t="str">
        <f aca="false">IF($A80="","",MEDIAN(0,0.6*(S80*100)+0.4*H80,100))</f>
        <v/>
      </c>
      <c r="U80" s="19" t="str">
        <f aca="false">IF($A80="","",MEDIAN(0,IF(J80="Sim",45,0)+MEDIAN(0,K80*10,30)+MEDIAN(0,25-I80/3,25),100))</f>
        <v/>
      </c>
      <c r="V80" s="19" t="str">
        <f aca="false">IF($A80="","",MEDIAN(0,0.5*N80+0.3*MEDIAN(0,100-L80*12,100)+0.2*MEDIAN(0,100-M80*40,100),100))</f>
        <v/>
      </c>
      <c r="W80" s="19" t="str">
        <f aca="false">IF($A80="","",MEDIAN(0,IF(P80="Em dia",60,20)+IF(E80&gt;=D80,40,IF(E80&gt;=D80*0.85,20,0)),100))</f>
        <v/>
      </c>
      <c r="X80" s="19" t="str">
        <f aca="false">IF($A80="","",MEDIAN(0,(O80+100)/2,100))</f>
        <v/>
      </c>
      <c r="Y80" s="20" t="str">
        <f aca="false">IF($A80="","",ROUND(0.35*T80+0.2*U80+0.2*V80+0.15*W80+0.1*X80,0))</f>
        <v/>
      </c>
      <c r="Z80" s="20" t="str">
        <f aca="false">IF($A80="","",ROUND(MEDIAN(0,(1-S80)*25+IF(H80&lt;40,15,IF(H80&lt;60,7,0))+IF(J80="Sim",0,18)+IF(K80&lt;=1,10,0)+MEDIAN(0,I80/4,18)+M80*8+IF(E80&lt;D80,12,0)+IF(P80="Atrasado",10,0)+IF(O80&lt;0,8,0),100),0))</f>
        <v/>
      </c>
      <c r="AA80" s="19" t="str">
        <f aca="false">IF(N80="","",IF(OR(E80=0,Y80&lt;45,Z80&gt;=65,AND(R80&lt;=60,Y80&lt;60,E80&gt;0)),"Vermelho",IF(OR(AND(Y80&gt;=45,Y80&lt;70),AND(Z80&gt;=45,Z80&lt;65)),"Amarelo","Verde")))</f>
        <v/>
      </c>
      <c r="AB80" s="19" t="str">
        <f aca="false">IF($A80="","",IF(AND(E80&gt;0,OR(S80&gt;=0.85,AND(Y80&gt;=75,O80&gt;=8,E80&gt;=D80,S80&gt;=0.7))),"Sim","Não"))</f>
        <v/>
      </c>
      <c r="AC80" s="21" t="str">
        <f aca="false">IF($A80="","",IF(AB80="Sim",ROUND(E80*0.25,0),0))</f>
        <v/>
      </c>
    </row>
    <row r="81" customFormat="false" ht="15" hidden="false" customHeight="false" outlineLevel="0" collapsed="false">
      <c r="A81" s="10"/>
      <c r="B81" s="10"/>
      <c r="C81" s="10"/>
      <c r="D81" s="11"/>
      <c r="E81" s="11"/>
      <c r="F81" s="11"/>
      <c r="G81" s="11"/>
      <c r="H81" s="11"/>
      <c r="I81" s="11"/>
      <c r="J81" s="10"/>
      <c r="K81" s="11"/>
      <c r="L81" s="11"/>
      <c r="M81" s="11"/>
      <c r="N81" s="11"/>
      <c r="O81" s="11"/>
      <c r="P81" s="10"/>
      <c r="Q81" s="10"/>
      <c r="R81" s="11"/>
      <c r="S81" s="12" t="str">
        <f aca="false">IF($A81="","",IF(F81=0,0,G81/F81))</f>
        <v/>
      </c>
      <c r="T81" s="13" t="str">
        <f aca="false">IF($A81="","",MEDIAN(0,0.6*(S81*100)+0.4*H81,100))</f>
        <v/>
      </c>
      <c r="U81" s="13" t="str">
        <f aca="false">IF($A81="","",MEDIAN(0,IF(J81="Sim",45,0)+MEDIAN(0,K81*10,30)+MEDIAN(0,25-I81/3,25),100))</f>
        <v/>
      </c>
      <c r="V81" s="13" t="str">
        <f aca="false">IF($A81="","",MEDIAN(0,0.5*N81+0.3*MEDIAN(0,100-L81*12,100)+0.2*MEDIAN(0,100-M81*40,100),100))</f>
        <v/>
      </c>
      <c r="W81" s="13" t="str">
        <f aca="false">IF($A81="","",MEDIAN(0,IF(P81="Em dia",60,20)+IF(E81&gt;=D81,40,IF(E81&gt;=D81*0.85,20,0)),100))</f>
        <v/>
      </c>
      <c r="X81" s="13" t="str">
        <f aca="false">IF($A81="","",MEDIAN(0,(O81+100)/2,100))</f>
        <v/>
      </c>
      <c r="Y81" s="14" t="str">
        <f aca="false">IF($A81="","",ROUND(0.35*T81+0.2*U81+0.2*V81+0.15*W81+0.1*X81,0))</f>
        <v/>
      </c>
      <c r="Z81" s="14" t="str">
        <f aca="false">IF($A81="","",ROUND(MEDIAN(0,(1-S81)*25+IF(H81&lt;40,15,IF(H81&lt;60,7,0))+IF(J81="Sim",0,18)+IF(K81&lt;=1,10,0)+MEDIAN(0,I81/4,18)+M81*8+IF(E81&lt;D81,12,0)+IF(P81="Atrasado",10,0)+IF(O81&lt;0,8,0),100),0))</f>
        <v/>
      </c>
      <c r="AA81" s="13" t="str">
        <f aca="false">IF(N81="","",IF(OR(E81=0,Y81&lt;45,Z81&gt;=65,AND(R81&lt;=60,Y81&lt;60,E81&gt;0)),"Vermelho",IF(OR(AND(Y81&gt;=45,Y81&lt;70),AND(Z81&gt;=45,Z81&lt;65)),"Amarelo","Verde")))</f>
        <v/>
      </c>
      <c r="AB81" s="13" t="str">
        <f aca="false">IF($A81="","",IF(AND(E81&gt;0,OR(S81&gt;=0.85,AND(Y81&gt;=75,O81&gt;=8,E81&gt;=D81,S81&gt;=0.7))),"Sim","Não"))</f>
        <v/>
      </c>
      <c r="AC81" s="15" t="str">
        <f aca="false">IF($A81="","",IF(AB81="Sim",ROUND(E81*0.25,0),0))</f>
        <v/>
      </c>
    </row>
    <row r="82" customFormat="false" ht="15" hidden="false" customHeight="false" outlineLevel="0" collapsed="false">
      <c r="A82" s="16"/>
      <c r="B82" s="16"/>
      <c r="C82" s="16"/>
      <c r="D82" s="17"/>
      <c r="E82" s="17"/>
      <c r="F82" s="17"/>
      <c r="G82" s="17"/>
      <c r="H82" s="17"/>
      <c r="I82" s="17"/>
      <c r="J82" s="16"/>
      <c r="K82" s="17"/>
      <c r="L82" s="17"/>
      <c r="M82" s="17"/>
      <c r="N82" s="17"/>
      <c r="O82" s="17"/>
      <c r="P82" s="16"/>
      <c r="Q82" s="16"/>
      <c r="R82" s="17"/>
      <c r="S82" s="18" t="str">
        <f aca="false">IF($A82="","",IF(F82=0,0,G82/F82))</f>
        <v/>
      </c>
      <c r="T82" s="19" t="str">
        <f aca="false">IF($A82="","",MEDIAN(0,0.6*(S82*100)+0.4*H82,100))</f>
        <v/>
      </c>
      <c r="U82" s="19" t="str">
        <f aca="false">IF($A82="","",MEDIAN(0,IF(J82="Sim",45,0)+MEDIAN(0,K82*10,30)+MEDIAN(0,25-I82/3,25),100))</f>
        <v/>
      </c>
      <c r="V82" s="19" t="str">
        <f aca="false">IF($A82="","",MEDIAN(0,0.5*N82+0.3*MEDIAN(0,100-L82*12,100)+0.2*MEDIAN(0,100-M82*40,100),100))</f>
        <v/>
      </c>
      <c r="W82" s="19" t="str">
        <f aca="false">IF($A82="","",MEDIAN(0,IF(P82="Em dia",60,20)+IF(E82&gt;=D82,40,IF(E82&gt;=D82*0.85,20,0)),100))</f>
        <v/>
      </c>
      <c r="X82" s="19" t="str">
        <f aca="false">IF($A82="","",MEDIAN(0,(O82+100)/2,100))</f>
        <v/>
      </c>
      <c r="Y82" s="20" t="str">
        <f aca="false">IF($A82="","",ROUND(0.35*T82+0.2*U82+0.2*V82+0.15*W82+0.1*X82,0))</f>
        <v/>
      </c>
      <c r="Z82" s="20" t="str">
        <f aca="false">IF($A82="","",ROUND(MEDIAN(0,(1-S82)*25+IF(H82&lt;40,15,IF(H82&lt;60,7,0))+IF(J82="Sim",0,18)+IF(K82&lt;=1,10,0)+MEDIAN(0,I82/4,18)+M82*8+IF(E82&lt;D82,12,0)+IF(P82="Atrasado",10,0)+IF(O82&lt;0,8,0),100),0))</f>
        <v/>
      </c>
      <c r="AA82" s="19" t="str">
        <f aca="false">IF(N82="","",IF(OR(E82=0,Y82&lt;45,Z82&gt;=65,AND(R82&lt;=60,Y82&lt;60,E82&gt;0)),"Vermelho",IF(OR(AND(Y82&gt;=45,Y82&lt;70),AND(Z82&gt;=45,Z82&lt;65)),"Amarelo","Verde")))</f>
        <v/>
      </c>
      <c r="AB82" s="19" t="str">
        <f aca="false">IF($A82="","",IF(AND(E82&gt;0,OR(S82&gt;=0.85,AND(Y82&gt;=75,O82&gt;=8,E82&gt;=D82,S82&gt;=0.7))),"Sim","Não"))</f>
        <v/>
      </c>
      <c r="AC82" s="21" t="str">
        <f aca="false">IF($A82="","",IF(AB82="Sim",ROUND(E82*0.25,0),0))</f>
        <v/>
      </c>
    </row>
    <row r="83" customFormat="false" ht="15" hidden="false" customHeight="false" outlineLevel="0" collapsed="false">
      <c r="A83" s="10"/>
      <c r="B83" s="10"/>
      <c r="C83" s="10"/>
      <c r="D83" s="11"/>
      <c r="E83" s="11"/>
      <c r="F83" s="11"/>
      <c r="G83" s="11"/>
      <c r="H83" s="11"/>
      <c r="I83" s="11"/>
      <c r="J83" s="10"/>
      <c r="K83" s="11"/>
      <c r="L83" s="11"/>
      <c r="M83" s="11"/>
      <c r="N83" s="11"/>
      <c r="O83" s="11"/>
      <c r="P83" s="10"/>
      <c r="Q83" s="10"/>
      <c r="R83" s="11"/>
      <c r="S83" s="12" t="str">
        <f aca="false">IF($A83="","",IF(F83=0,0,G83/F83))</f>
        <v/>
      </c>
      <c r="T83" s="13" t="str">
        <f aca="false">IF($A83="","",MEDIAN(0,0.6*(S83*100)+0.4*H83,100))</f>
        <v/>
      </c>
      <c r="U83" s="13" t="str">
        <f aca="false">IF($A83="","",MEDIAN(0,IF(J83="Sim",45,0)+MEDIAN(0,K83*10,30)+MEDIAN(0,25-I83/3,25),100))</f>
        <v/>
      </c>
      <c r="V83" s="13" t="str">
        <f aca="false">IF($A83="","",MEDIAN(0,0.5*N83+0.3*MEDIAN(0,100-L83*12,100)+0.2*MEDIAN(0,100-M83*40,100),100))</f>
        <v/>
      </c>
      <c r="W83" s="13" t="str">
        <f aca="false">IF($A83="","",MEDIAN(0,IF(P83="Em dia",60,20)+IF(E83&gt;=D83,40,IF(E83&gt;=D83*0.85,20,0)),100))</f>
        <v/>
      </c>
      <c r="X83" s="13" t="str">
        <f aca="false">IF($A83="","",MEDIAN(0,(O83+100)/2,100))</f>
        <v/>
      </c>
      <c r="Y83" s="14" t="str">
        <f aca="false">IF($A83="","",ROUND(0.35*T83+0.2*U83+0.2*V83+0.15*W83+0.1*X83,0))</f>
        <v/>
      </c>
      <c r="Z83" s="14" t="str">
        <f aca="false">IF($A83="","",ROUND(MEDIAN(0,(1-S83)*25+IF(H83&lt;40,15,IF(H83&lt;60,7,0))+IF(J83="Sim",0,18)+IF(K83&lt;=1,10,0)+MEDIAN(0,I83/4,18)+M83*8+IF(E83&lt;D83,12,0)+IF(P83="Atrasado",10,0)+IF(O83&lt;0,8,0),100),0))</f>
        <v/>
      </c>
      <c r="AA83" s="13" t="str">
        <f aca="false">IF(N83="","",IF(OR(E83=0,Y83&lt;45,Z83&gt;=65,AND(R83&lt;=60,Y83&lt;60,E83&gt;0)),"Vermelho",IF(OR(AND(Y83&gt;=45,Y83&lt;70),AND(Z83&gt;=45,Z83&lt;65)),"Amarelo","Verde")))</f>
        <v/>
      </c>
      <c r="AB83" s="13" t="str">
        <f aca="false">IF($A83="","",IF(AND(E83&gt;0,OR(S83&gt;=0.85,AND(Y83&gt;=75,O83&gt;=8,E83&gt;=D83,S83&gt;=0.7))),"Sim","Não"))</f>
        <v/>
      </c>
      <c r="AC83" s="15" t="str">
        <f aca="false">IF($A83="","",IF(AB83="Sim",ROUND(E83*0.25,0),0))</f>
        <v/>
      </c>
    </row>
    <row r="84" customFormat="false" ht="15" hidden="false" customHeight="false" outlineLevel="0" collapsed="false">
      <c r="A84" s="16"/>
      <c r="B84" s="16"/>
      <c r="C84" s="16"/>
      <c r="D84" s="17"/>
      <c r="E84" s="17"/>
      <c r="F84" s="17"/>
      <c r="G84" s="17"/>
      <c r="H84" s="17"/>
      <c r="I84" s="17"/>
      <c r="J84" s="16"/>
      <c r="K84" s="17"/>
      <c r="L84" s="17"/>
      <c r="M84" s="17"/>
      <c r="N84" s="17"/>
      <c r="O84" s="17"/>
      <c r="P84" s="16"/>
      <c r="Q84" s="16"/>
      <c r="R84" s="17"/>
      <c r="S84" s="18" t="str">
        <f aca="false">IF($A84="","",IF(F84=0,0,G84/F84))</f>
        <v/>
      </c>
      <c r="T84" s="19" t="str">
        <f aca="false">IF($A84="","",MEDIAN(0,0.6*(S84*100)+0.4*H84,100))</f>
        <v/>
      </c>
      <c r="U84" s="19" t="str">
        <f aca="false">IF($A84="","",MEDIAN(0,IF(J84="Sim",45,0)+MEDIAN(0,K84*10,30)+MEDIAN(0,25-I84/3,25),100))</f>
        <v/>
      </c>
      <c r="V84" s="19" t="str">
        <f aca="false">IF($A84="","",MEDIAN(0,0.5*N84+0.3*MEDIAN(0,100-L84*12,100)+0.2*MEDIAN(0,100-M84*40,100),100))</f>
        <v/>
      </c>
      <c r="W84" s="19" t="str">
        <f aca="false">IF($A84="","",MEDIAN(0,IF(P84="Em dia",60,20)+IF(E84&gt;=D84,40,IF(E84&gt;=D84*0.85,20,0)),100))</f>
        <v/>
      </c>
      <c r="X84" s="19" t="str">
        <f aca="false">IF($A84="","",MEDIAN(0,(O84+100)/2,100))</f>
        <v/>
      </c>
      <c r="Y84" s="20" t="str">
        <f aca="false">IF($A84="","",ROUND(0.35*T84+0.2*U84+0.2*V84+0.15*W84+0.1*X84,0))</f>
        <v/>
      </c>
      <c r="Z84" s="20" t="str">
        <f aca="false">IF($A84="","",ROUND(MEDIAN(0,(1-S84)*25+IF(H84&lt;40,15,IF(H84&lt;60,7,0))+IF(J84="Sim",0,18)+IF(K84&lt;=1,10,0)+MEDIAN(0,I84/4,18)+M84*8+IF(E84&lt;D84,12,0)+IF(P84="Atrasado",10,0)+IF(O84&lt;0,8,0),100),0))</f>
        <v/>
      </c>
      <c r="AA84" s="19" t="str">
        <f aca="false">IF(N84="","",IF(OR(E84=0,Y84&lt;45,Z84&gt;=65,AND(R84&lt;=60,Y84&lt;60,E84&gt;0)),"Vermelho",IF(OR(AND(Y84&gt;=45,Y84&lt;70),AND(Z84&gt;=45,Z84&lt;65)),"Amarelo","Verde")))</f>
        <v/>
      </c>
      <c r="AB84" s="19" t="str">
        <f aca="false">IF($A84="","",IF(AND(E84&gt;0,OR(S84&gt;=0.85,AND(Y84&gt;=75,O84&gt;=8,E84&gt;=D84,S84&gt;=0.7))),"Sim","Não"))</f>
        <v/>
      </c>
      <c r="AC84" s="21" t="str">
        <f aca="false">IF($A84="","",IF(AB84="Sim",ROUND(E84*0.25,0),0))</f>
        <v/>
      </c>
    </row>
    <row r="85" customFormat="false" ht="15" hidden="false" customHeight="false" outlineLevel="0" collapsed="false">
      <c r="A85" s="10"/>
      <c r="B85" s="10"/>
      <c r="C85" s="10"/>
      <c r="D85" s="11"/>
      <c r="E85" s="11"/>
      <c r="F85" s="11"/>
      <c r="G85" s="11"/>
      <c r="H85" s="11"/>
      <c r="I85" s="11"/>
      <c r="J85" s="10"/>
      <c r="K85" s="11"/>
      <c r="L85" s="11"/>
      <c r="M85" s="11"/>
      <c r="N85" s="11"/>
      <c r="O85" s="11"/>
      <c r="P85" s="10"/>
      <c r="Q85" s="10"/>
      <c r="R85" s="11"/>
      <c r="S85" s="12" t="str">
        <f aca="false">IF($A85="","",IF(F85=0,0,G85/F85))</f>
        <v/>
      </c>
      <c r="T85" s="13" t="str">
        <f aca="false">IF($A85="","",MEDIAN(0,0.6*(S85*100)+0.4*H85,100))</f>
        <v/>
      </c>
      <c r="U85" s="13" t="str">
        <f aca="false">IF($A85="","",MEDIAN(0,IF(J85="Sim",45,0)+MEDIAN(0,K85*10,30)+MEDIAN(0,25-I85/3,25),100))</f>
        <v/>
      </c>
      <c r="V85" s="13" t="str">
        <f aca="false">IF($A85="","",MEDIAN(0,0.5*N85+0.3*MEDIAN(0,100-L85*12,100)+0.2*MEDIAN(0,100-M85*40,100),100))</f>
        <v/>
      </c>
      <c r="W85" s="13" t="str">
        <f aca="false">IF($A85="","",MEDIAN(0,IF(P85="Em dia",60,20)+IF(E85&gt;=D85,40,IF(E85&gt;=D85*0.85,20,0)),100))</f>
        <v/>
      </c>
      <c r="X85" s="13" t="str">
        <f aca="false">IF($A85="","",MEDIAN(0,(O85+100)/2,100))</f>
        <v/>
      </c>
      <c r="Y85" s="14" t="str">
        <f aca="false">IF($A85="","",ROUND(0.35*T85+0.2*U85+0.2*V85+0.15*W85+0.1*X85,0))</f>
        <v/>
      </c>
      <c r="Z85" s="14" t="str">
        <f aca="false">IF($A85="","",ROUND(MEDIAN(0,(1-S85)*25+IF(H85&lt;40,15,IF(H85&lt;60,7,0))+IF(J85="Sim",0,18)+IF(K85&lt;=1,10,0)+MEDIAN(0,I85/4,18)+M85*8+IF(E85&lt;D85,12,0)+IF(P85="Atrasado",10,0)+IF(O85&lt;0,8,0),100),0))</f>
        <v/>
      </c>
      <c r="AA85" s="13" t="str">
        <f aca="false">IF(N85="","",IF(OR(E85=0,Y85&lt;45,Z85&gt;=65,AND(R85&lt;=60,Y85&lt;60,E85&gt;0)),"Vermelho",IF(OR(AND(Y85&gt;=45,Y85&lt;70),AND(Z85&gt;=45,Z85&lt;65)),"Amarelo","Verde")))</f>
        <v/>
      </c>
      <c r="AB85" s="13" t="str">
        <f aca="false">IF($A85="","",IF(AND(E85&gt;0,OR(S85&gt;=0.85,AND(Y85&gt;=75,O85&gt;=8,E85&gt;=D85,S85&gt;=0.7))),"Sim","Não"))</f>
        <v/>
      </c>
      <c r="AC85" s="15" t="str">
        <f aca="false">IF($A85="","",IF(AB85="Sim",ROUND(E85*0.25,0),0))</f>
        <v/>
      </c>
    </row>
    <row r="86" customFormat="false" ht="15" hidden="false" customHeight="false" outlineLevel="0" collapsed="false">
      <c r="A86" s="16"/>
      <c r="B86" s="16"/>
      <c r="C86" s="16"/>
      <c r="D86" s="17"/>
      <c r="E86" s="17"/>
      <c r="F86" s="17"/>
      <c r="G86" s="17"/>
      <c r="H86" s="17"/>
      <c r="I86" s="17"/>
      <c r="J86" s="16"/>
      <c r="K86" s="17"/>
      <c r="L86" s="17"/>
      <c r="M86" s="17"/>
      <c r="N86" s="17"/>
      <c r="O86" s="17"/>
      <c r="P86" s="16"/>
      <c r="Q86" s="16"/>
      <c r="R86" s="17"/>
      <c r="S86" s="18" t="str">
        <f aca="false">IF($A86="","",IF(F86=0,0,G86/F86))</f>
        <v/>
      </c>
      <c r="T86" s="19" t="str">
        <f aca="false">IF($A86="","",MEDIAN(0,0.6*(S86*100)+0.4*H86,100))</f>
        <v/>
      </c>
      <c r="U86" s="19" t="str">
        <f aca="false">IF($A86="","",MEDIAN(0,IF(J86="Sim",45,0)+MEDIAN(0,K86*10,30)+MEDIAN(0,25-I86/3,25),100))</f>
        <v/>
      </c>
      <c r="V86" s="19" t="str">
        <f aca="false">IF($A86="","",MEDIAN(0,0.5*N86+0.3*MEDIAN(0,100-L86*12,100)+0.2*MEDIAN(0,100-M86*40,100),100))</f>
        <v/>
      </c>
      <c r="W86" s="19" t="str">
        <f aca="false">IF($A86="","",MEDIAN(0,IF(P86="Em dia",60,20)+IF(E86&gt;=D86,40,IF(E86&gt;=D86*0.85,20,0)),100))</f>
        <v/>
      </c>
      <c r="X86" s="19" t="str">
        <f aca="false">IF($A86="","",MEDIAN(0,(O86+100)/2,100))</f>
        <v/>
      </c>
      <c r="Y86" s="20" t="str">
        <f aca="false">IF($A86="","",ROUND(0.35*T86+0.2*U86+0.2*V86+0.15*W86+0.1*X86,0))</f>
        <v/>
      </c>
      <c r="Z86" s="20" t="str">
        <f aca="false">IF($A86="","",ROUND(MEDIAN(0,(1-S86)*25+IF(H86&lt;40,15,IF(H86&lt;60,7,0))+IF(J86="Sim",0,18)+IF(K86&lt;=1,10,0)+MEDIAN(0,I86/4,18)+M86*8+IF(E86&lt;D86,12,0)+IF(P86="Atrasado",10,0)+IF(O86&lt;0,8,0),100),0))</f>
        <v/>
      </c>
      <c r="AA86" s="19" t="str">
        <f aca="false">IF(N86="","",IF(OR(E86=0,Y86&lt;45,Z86&gt;=65,AND(R86&lt;=60,Y86&lt;60,E86&gt;0)),"Vermelho",IF(OR(AND(Y86&gt;=45,Y86&lt;70),AND(Z86&gt;=45,Z86&lt;65)),"Amarelo","Verde")))</f>
        <v/>
      </c>
      <c r="AB86" s="19" t="str">
        <f aca="false">IF($A86="","",IF(AND(E86&gt;0,OR(S86&gt;=0.85,AND(Y86&gt;=75,O86&gt;=8,E86&gt;=D86,S86&gt;=0.7))),"Sim","Não"))</f>
        <v/>
      </c>
      <c r="AC86" s="21" t="str">
        <f aca="false">IF($A86="","",IF(AB86="Sim",ROUND(E86*0.25,0),0))</f>
        <v/>
      </c>
    </row>
    <row r="87" customFormat="false" ht="15" hidden="false" customHeight="false" outlineLevel="0" collapsed="false">
      <c r="A87" s="10"/>
      <c r="B87" s="10"/>
      <c r="C87" s="10"/>
      <c r="D87" s="11"/>
      <c r="E87" s="11"/>
      <c r="F87" s="11"/>
      <c r="G87" s="11"/>
      <c r="H87" s="11"/>
      <c r="I87" s="11"/>
      <c r="J87" s="10"/>
      <c r="K87" s="11"/>
      <c r="L87" s="11"/>
      <c r="M87" s="11"/>
      <c r="N87" s="11"/>
      <c r="O87" s="11"/>
      <c r="P87" s="10"/>
      <c r="Q87" s="10"/>
      <c r="R87" s="11"/>
      <c r="S87" s="12" t="str">
        <f aca="false">IF($A87="","",IF(F87=0,0,G87/F87))</f>
        <v/>
      </c>
      <c r="T87" s="13" t="str">
        <f aca="false">IF($A87="","",MEDIAN(0,0.6*(S87*100)+0.4*H87,100))</f>
        <v/>
      </c>
      <c r="U87" s="13" t="str">
        <f aca="false">IF($A87="","",MEDIAN(0,IF(J87="Sim",45,0)+MEDIAN(0,K87*10,30)+MEDIAN(0,25-I87/3,25),100))</f>
        <v/>
      </c>
      <c r="V87" s="13" t="str">
        <f aca="false">IF($A87="","",MEDIAN(0,0.5*N87+0.3*MEDIAN(0,100-L87*12,100)+0.2*MEDIAN(0,100-M87*40,100),100))</f>
        <v/>
      </c>
      <c r="W87" s="13" t="str">
        <f aca="false">IF($A87="","",MEDIAN(0,IF(P87="Em dia",60,20)+IF(E87&gt;=D87,40,IF(E87&gt;=D87*0.85,20,0)),100))</f>
        <v/>
      </c>
      <c r="X87" s="13" t="str">
        <f aca="false">IF($A87="","",MEDIAN(0,(O87+100)/2,100))</f>
        <v/>
      </c>
      <c r="Y87" s="14" t="str">
        <f aca="false">IF($A87="","",ROUND(0.35*T87+0.2*U87+0.2*V87+0.15*W87+0.1*X87,0))</f>
        <v/>
      </c>
      <c r="Z87" s="14" t="str">
        <f aca="false">IF($A87="","",ROUND(MEDIAN(0,(1-S87)*25+IF(H87&lt;40,15,IF(H87&lt;60,7,0))+IF(J87="Sim",0,18)+IF(K87&lt;=1,10,0)+MEDIAN(0,I87/4,18)+M87*8+IF(E87&lt;D87,12,0)+IF(P87="Atrasado",10,0)+IF(O87&lt;0,8,0),100),0))</f>
        <v/>
      </c>
      <c r="AA87" s="13" t="str">
        <f aca="false">IF(N87="","",IF(OR(E87=0,Y87&lt;45,Z87&gt;=65,AND(R87&lt;=60,Y87&lt;60,E87&gt;0)),"Vermelho",IF(OR(AND(Y87&gt;=45,Y87&lt;70),AND(Z87&gt;=45,Z87&lt;65)),"Amarelo","Verde")))</f>
        <v/>
      </c>
      <c r="AB87" s="13" t="str">
        <f aca="false">IF($A87="","",IF(AND(E87&gt;0,OR(S87&gt;=0.85,AND(Y87&gt;=75,O87&gt;=8,E87&gt;=D87,S87&gt;=0.7))),"Sim","Não"))</f>
        <v/>
      </c>
      <c r="AC87" s="15" t="str">
        <f aca="false">IF($A87="","",IF(AB87="Sim",ROUND(E87*0.25,0),0))</f>
        <v/>
      </c>
    </row>
    <row r="88" customFormat="false" ht="15" hidden="false" customHeight="false" outlineLevel="0" collapsed="false">
      <c r="A88" s="16"/>
      <c r="B88" s="16"/>
      <c r="C88" s="16"/>
      <c r="D88" s="17"/>
      <c r="E88" s="17"/>
      <c r="F88" s="17"/>
      <c r="G88" s="17"/>
      <c r="H88" s="17"/>
      <c r="I88" s="17"/>
      <c r="J88" s="16"/>
      <c r="K88" s="17"/>
      <c r="L88" s="17"/>
      <c r="M88" s="17"/>
      <c r="N88" s="17"/>
      <c r="O88" s="17"/>
      <c r="P88" s="16"/>
      <c r="Q88" s="16"/>
      <c r="R88" s="17"/>
      <c r="S88" s="18" t="str">
        <f aca="false">IF($A88="","",IF(F88=0,0,G88/F88))</f>
        <v/>
      </c>
      <c r="T88" s="19" t="str">
        <f aca="false">IF($A88="","",MEDIAN(0,0.6*(S88*100)+0.4*H88,100))</f>
        <v/>
      </c>
      <c r="U88" s="19" t="str">
        <f aca="false">IF($A88="","",MEDIAN(0,IF(J88="Sim",45,0)+MEDIAN(0,K88*10,30)+MEDIAN(0,25-I88/3,25),100))</f>
        <v/>
      </c>
      <c r="V88" s="19" t="str">
        <f aca="false">IF($A88="","",MEDIAN(0,0.5*N88+0.3*MEDIAN(0,100-L88*12,100)+0.2*MEDIAN(0,100-M88*40,100),100))</f>
        <v/>
      </c>
      <c r="W88" s="19" t="str">
        <f aca="false">IF($A88="","",MEDIAN(0,IF(P88="Em dia",60,20)+IF(E88&gt;=D88,40,IF(E88&gt;=D88*0.85,20,0)),100))</f>
        <v/>
      </c>
      <c r="X88" s="19" t="str">
        <f aca="false">IF($A88="","",MEDIAN(0,(O88+100)/2,100))</f>
        <v/>
      </c>
      <c r="Y88" s="20" t="str">
        <f aca="false">IF($A88="","",ROUND(0.35*T88+0.2*U88+0.2*V88+0.15*W88+0.1*X88,0))</f>
        <v/>
      </c>
      <c r="Z88" s="20" t="str">
        <f aca="false">IF($A88="","",ROUND(MEDIAN(0,(1-S88)*25+IF(H88&lt;40,15,IF(H88&lt;60,7,0))+IF(J88="Sim",0,18)+IF(K88&lt;=1,10,0)+MEDIAN(0,I88/4,18)+M88*8+IF(E88&lt;D88,12,0)+IF(P88="Atrasado",10,0)+IF(O88&lt;0,8,0),100),0))</f>
        <v/>
      </c>
      <c r="AA88" s="19" t="str">
        <f aca="false">IF(N88="","",IF(OR(E88=0,Y88&lt;45,Z88&gt;=65,AND(R88&lt;=60,Y88&lt;60,E88&gt;0)),"Vermelho",IF(OR(AND(Y88&gt;=45,Y88&lt;70),AND(Z88&gt;=45,Z88&lt;65)),"Amarelo","Verde")))</f>
        <v/>
      </c>
      <c r="AB88" s="19" t="str">
        <f aca="false">IF($A88="","",IF(AND(E88&gt;0,OR(S88&gt;=0.85,AND(Y88&gt;=75,O88&gt;=8,E88&gt;=D88,S88&gt;=0.7))),"Sim","Não"))</f>
        <v/>
      </c>
      <c r="AC88" s="21" t="str">
        <f aca="false">IF($A88="","",IF(AB88="Sim",ROUND(E88*0.25,0),0))</f>
        <v/>
      </c>
    </row>
    <row r="89" customFormat="false" ht="15" hidden="false" customHeight="false" outlineLevel="0" collapsed="false">
      <c r="A89" s="10"/>
      <c r="B89" s="10"/>
      <c r="C89" s="10"/>
      <c r="D89" s="11"/>
      <c r="E89" s="11"/>
      <c r="F89" s="11"/>
      <c r="G89" s="11"/>
      <c r="H89" s="11"/>
      <c r="I89" s="11"/>
      <c r="J89" s="10"/>
      <c r="K89" s="11"/>
      <c r="L89" s="11"/>
      <c r="M89" s="11"/>
      <c r="N89" s="11"/>
      <c r="O89" s="11"/>
      <c r="P89" s="10"/>
      <c r="Q89" s="10"/>
      <c r="R89" s="11"/>
      <c r="S89" s="12" t="str">
        <f aca="false">IF($A89="","",IF(F89=0,0,G89/F89))</f>
        <v/>
      </c>
      <c r="T89" s="13" t="str">
        <f aca="false">IF($A89="","",MEDIAN(0,0.6*(S89*100)+0.4*H89,100))</f>
        <v/>
      </c>
      <c r="U89" s="13" t="str">
        <f aca="false">IF($A89="","",MEDIAN(0,IF(J89="Sim",45,0)+MEDIAN(0,K89*10,30)+MEDIAN(0,25-I89/3,25),100))</f>
        <v/>
      </c>
      <c r="V89" s="13" t="str">
        <f aca="false">IF($A89="","",MEDIAN(0,0.5*N89+0.3*MEDIAN(0,100-L89*12,100)+0.2*MEDIAN(0,100-M89*40,100),100))</f>
        <v/>
      </c>
      <c r="W89" s="13" t="str">
        <f aca="false">IF($A89="","",MEDIAN(0,IF(P89="Em dia",60,20)+IF(E89&gt;=D89,40,IF(E89&gt;=D89*0.85,20,0)),100))</f>
        <v/>
      </c>
      <c r="X89" s="13" t="str">
        <f aca="false">IF($A89="","",MEDIAN(0,(O89+100)/2,100))</f>
        <v/>
      </c>
      <c r="Y89" s="14" t="str">
        <f aca="false">IF($A89="","",ROUND(0.35*T89+0.2*U89+0.2*V89+0.15*W89+0.1*X89,0))</f>
        <v/>
      </c>
      <c r="Z89" s="14" t="str">
        <f aca="false">IF($A89="","",ROUND(MEDIAN(0,(1-S89)*25+IF(H89&lt;40,15,IF(H89&lt;60,7,0))+IF(J89="Sim",0,18)+IF(K89&lt;=1,10,0)+MEDIAN(0,I89/4,18)+M89*8+IF(E89&lt;D89,12,0)+IF(P89="Atrasado",10,0)+IF(O89&lt;0,8,0),100),0))</f>
        <v/>
      </c>
      <c r="AA89" s="13" t="str">
        <f aca="false">IF(N89="","",IF(OR(E89=0,Y89&lt;45,Z89&gt;=65,AND(R89&lt;=60,Y89&lt;60,E89&gt;0)),"Vermelho",IF(OR(AND(Y89&gt;=45,Y89&lt;70),AND(Z89&gt;=45,Z89&lt;65)),"Amarelo","Verde")))</f>
        <v/>
      </c>
      <c r="AB89" s="13" t="str">
        <f aca="false">IF($A89="","",IF(AND(E89&gt;0,OR(S89&gt;=0.85,AND(Y89&gt;=75,O89&gt;=8,E89&gt;=D89,S89&gt;=0.7))),"Sim","Não"))</f>
        <v/>
      </c>
      <c r="AC89" s="15" t="str">
        <f aca="false">IF($A89="","",IF(AB89="Sim",ROUND(E89*0.25,0),0))</f>
        <v/>
      </c>
    </row>
    <row r="90" customFormat="false" ht="15" hidden="false" customHeight="false" outlineLevel="0" collapsed="false">
      <c r="A90" s="16"/>
      <c r="B90" s="16"/>
      <c r="C90" s="16"/>
      <c r="D90" s="17"/>
      <c r="E90" s="17"/>
      <c r="F90" s="17"/>
      <c r="G90" s="17"/>
      <c r="H90" s="17"/>
      <c r="I90" s="17"/>
      <c r="J90" s="16"/>
      <c r="K90" s="17"/>
      <c r="L90" s="17"/>
      <c r="M90" s="17"/>
      <c r="N90" s="17"/>
      <c r="O90" s="17"/>
      <c r="P90" s="16"/>
      <c r="Q90" s="16"/>
      <c r="R90" s="17"/>
      <c r="S90" s="18" t="str">
        <f aca="false">IF($A90="","",IF(F90=0,0,G90/F90))</f>
        <v/>
      </c>
      <c r="T90" s="19" t="str">
        <f aca="false">IF($A90="","",MEDIAN(0,0.6*(S90*100)+0.4*H90,100))</f>
        <v/>
      </c>
      <c r="U90" s="19" t="str">
        <f aca="false">IF($A90="","",MEDIAN(0,IF(J90="Sim",45,0)+MEDIAN(0,K90*10,30)+MEDIAN(0,25-I90/3,25),100))</f>
        <v/>
      </c>
      <c r="V90" s="19" t="str">
        <f aca="false">IF($A90="","",MEDIAN(0,0.5*N90+0.3*MEDIAN(0,100-L90*12,100)+0.2*MEDIAN(0,100-M90*40,100),100))</f>
        <v/>
      </c>
      <c r="W90" s="19" t="str">
        <f aca="false">IF($A90="","",MEDIAN(0,IF(P90="Em dia",60,20)+IF(E90&gt;=D90,40,IF(E90&gt;=D90*0.85,20,0)),100))</f>
        <v/>
      </c>
      <c r="X90" s="19" t="str">
        <f aca="false">IF($A90="","",MEDIAN(0,(O90+100)/2,100))</f>
        <v/>
      </c>
      <c r="Y90" s="20" t="str">
        <f aca="false">IF($A90="","",ROUND(0.35*T90+0.2*U90+0.2*V90+0.15*W90+0.1*X90,0))</f>
        <v/>
      </c>
      <c r="Z90" s="20" t="str">
        <f aca="false">IF($A90="","",ROUND(MEDIAN(0,(1-S90)*25+IF(H90&lt;40,15,IF(H90&lt;60,7,0))+IF(J90="Sim",0,18)+IF(K90&lt;=1,10,0)+MEDIAN(0,I90/4,18)+M90*8+IF(E90&lt;D90,12,0)+IF(P90="Atrasado",10,0)+IF(O90&lt;0,8,0),100),0))</f>
        <v/>
      </c>
      <c r="AA90" s="19" t="str">
        <f aca="false">IF(N90="","",IF(OR(E90=0,Y90&lt;45,Z90&gt;=65,AND(R90&lt;=60,Y90&lt;60,E90&gt;0)),"Vermelho",IF(OR(AND(Y90&gt;=45,Y90&lt;70),AND(Z90&gt;=45,Z90&lt;65)),"Amarelo","Verde")))</f>
        <v/>
      </c>
      <c r="AB90" s="19" t="str">
        <f aca="false">IF($A90="","",IF(AND(E90&gt;0,OR(S90&gt;=0.85,AND(Y90&gt;=75,O90&gt;=8,E90&gt;=D90,S90&gt;=0.7))),"Sim","Não"))</f>
        <v/>
      </c>
      <c r="AC90" s="21" t="str">
        <f aca="false">IF($A90="","",IF(AB90="Sim",ROUND(E90*0.25,0),0))</f>
        <v/>
      </c>
    </row>
    <row r="91" customFormat="false" ht="15" hidden="false" customHeight="false" outlineLevel="0" collapsed="false">
      <c r="A91" s="10"/>
      <c r="B91" s="10"/>
      <c r="C91" s="10"/>
      <c r="D91" s="11"/>
      <c r="E91" s="11"/>
      <c r="F91" s="11"/>
      <c r="G91" s="11"/>
      <c r="H91" s="11"/>
      <c r="I91" s="11"/>
      <c r="J91" s="10"/>
      <c r="K91" s="11"/>
      <c r="L91" s="11"/>
      <c r="M91" s="11"/>
      <c r="N91" s="11"/>
      <c r="O91" s="11"/>
      <c r="P91" s="10"/>
      <c r="Q91" s="10"/>
      <c r="R91" s="11"/>
      <c r="S91" s="12" t="str">
        <f aca="false">IF($A91="","",IF(F91=0,0,G91/F91))</f>
        <v/>
      </c>
      <c r="T91" s="13" t="str">
        <f aca="false">IF($A91="","",MEDIAN(0,0.6*(S91*100)+0.4*H91,100))</f>
        <v/>
      </c>
      <c r="U91" s="13" t="str">
        <f aca="false">IF($A91="","",MEDIAN(0,IF(J91="Sim",45,0)+MEDIAN(0,K91*10,30)+MEDIAN(0,25-I91/3,25),100))</f>
        <v/>
      </c>
      <c r="V91" s="13" t="str">
        <f aca="false">IF($A91="","",MEDIAN(0,0.5*N91+0.3*MEDIAN(0,100-L91*12,100)+0.2*MEDIAN(0,100-M91*40,100),100))</f>
        <v/>
      </c>
      <c r="W91" s="13" t="str">
        <f aca="false">IF($A91="","",MEDIAN(0,IF(P91="Em dia",60,20)+IF(E91&gt;=D91,40,IF(E91&gt;=D91*0.85,20,0)),100))</f>
        <v/>
      </c>
      <c r="X91" s="13" t="str">
        <f aca="false">IF($A91="","",MEDIAN(0,(O91+100)/2,100))</f>
        <v/>
      </c>
      <c r="Y91" s="14" t="str">
        <f aca="false">IF($A91="","",ROUND(0.35*T91+0.2*U91+0.2*V91+0.15*W91+0.1*X91,0))</f>
        <v/>
      </c>
      <c r="Z91" s="14" t="str">
        <f aca="false">IF($A91="","",ROUND(MEDIAN(0,(1-S91)*25+IF(H91&lt;40,15,IF(H91&lt;60,7,0))+IF(J91="Sim",0,18)+IF(K91&lt;=1,10,0)+MEDIAN(0,I91/4,18)+M91*8+IF(E91&lt;D91,12,0)+IF(P91="Atrasado",10,0)+IF(O91&lt;0,8,0),100),0))</f>
        <v/>
      </c>
      <c r="AA91" s="13" t="str">
        <f aca="false">IF(N91="","",IF(OR(E91=0,Y91&lt;45,Z91&gt;=65,AND(R91&lt;=60,Y91&lt;60,E91&gt;0)),"Vermelho",IF(OR(AND(Y91&gt;=45,Y91&lt;70),AND(Z91&gt;=45,Z91&lt;65)),"Amarelo","Verde")))</f>
        <v/>
      </c>
      <c r="AB91" s="13" t="str">
        <f aca="false">IF($A91="","",IF(AND(E91&gt;0,OR(S91&gt;=0.85,AND(Y91&gt;=75,O91&gt;=8,E91&gt;=D91,S91&gt;=0.7))),"Sim","Não"))</f>
        <v/>
      </c>
      <c r="AC91" s="15" t="str">
        <f aca="false">IF($A91="","",IF(AB91="Sim",ROUND(E91*0.25,0),0))</f>
        <v/>
      </c>
    </row>
    <row r="92" customFormat="false" ht="15" hidden="false" customHeight="false" outlineLevel="0" collapsed="false">
      <c r="A92" s="16"/>
      <c r="B92" s="16"/>
      <c r="C92" s="16"/>
      <c r="D92" s="17"/>
      <c r="E92" s="17"/>
      <c r="F92" s="17"/>
      <c r="G92" s="17"/>
      <c r="H92" s="17"/>
      <c r="I92" s="17"/>
      <c r="J92" s="16"/>
      <c r="K92" s="17"/>
      <c r="L92" s="17"/>
      <c r="M92" s="17"/>
      <c r="N92" s="17"/>
      <c r="O92" s="17"/>
      <c r="P92" s="16"/>
      <c r="Q92" s="16"/>
      <c r="R92" s="17"/>
      <c r="S92" s="18" t="str">
        <f aca="false">IF($A92="","",IF(F92=0,0,G92/F92))</f>
        <v/>
      </c>
      <c r="T92" s="19" t="str">
        <f aca="false">IF($A92="","",MEDIAN(0,0.6*(S92*100)+0.4*H92,100))</f>
        <v/>
      </c>
      <c r="U92" s="19" t="str">
        <f aca="false">IF($A92="","",MEDIAN(0,IF(J92="Sim",45,0)+MEDIAN(0,K92*10,30)+MEDIAN(0,25-I92/3,25),100))</f>
        <v/>
      </c>
      <c r="V92" s="19" t="str">
        <f aca="false">IF($A92="","",MEDIAN(0,0.5*N92+0.3*MEDIAN(0,100-L92*12,100)+0.2*MEDIAN(0,100-M92*40,100),100))</f>
        <v/>
      </c>
      <c r="W92" s="19" t="str">
        <f aca="false">IF($A92="","",MEDIAN(0,IF(P92="Em dia",60,20)+IF(E92&gt;=D92,40,IF(E92&gt;=D92*0.85,20,0)),100))</f>
        <v/>
      </c>
      <c r="X92" s="19" t="str">
        <f aca="false">IF($A92="","",MEDIAN(0,(O92+100)/2,100))</f>
        <v/>
      </c>
      <c r="Y92" s="20" t="str">
        <f aca="false">IF($A92="","",ROUND(0.35*T92+0.2*U92+0.2*V92+0.15*W92+0.1*X92,0))</f>
        <v/>
      </c>
      <c r="Z92" s="20" t="str">
        <f aca="false">IF($A92="","",ROUND(MEDIAN(0,(1-S92)*25+IF(H92&lt;40,15,IF(H92&lt;60,7,0))+IF(J92="Sim",0,18)+IF(K92&lt;=1,10,0)+MEDIAN(0,I92/4,18)+M92*8+IF(E92&lt;D92,12,0)+IF(P92="Atrasado",10,0)+IF(O92&lt;0,8,0),100),0))</f>
        <v/>
      </c>
      <c r="AA92" s="19" t="str">
        <f aca="false">IF(N92="","",IF(OR(E92=0,Y92&lt;45,Z92&gt;=65,AND(R92&lt;=60,Y92&lt;60,E92&gt;0)),"Vermelho",IF(OR(AND(Y92&gt;=45,Y92&lt;70),AND(Z92&gt;=45,Z92&lt;65)),"Amarelo","Verde")))</f>
        <v/>
      </c>
      <c r="AB92" s="19" t="str">
        <f aca="false">IF($A92="","",IF(AND(E92&gt;0,OR(S92&gt;=0.85,AND(Y92&gt;=75,O92&gt;=8,E92&gt;=D92,S92&gt;=0.7))),"Sim","Não"))</f>
        <v/>
      </c>
      <c r="AC92" s="21" t="str">
        <f aca="false">IF($A92="","",IF(AB92="Sim",ROUND(E92*0.25,0),0))</f>
        <v/>
      </c>
    </row>
    <row r="93" customFormat="false" ht="15" hidden="false" customHeight="false" outlineLevel="0" collapsed="false">
      <c r="A93" s="10"/>
      <c r="B93" s="10"/>
      <c r="C93" s="10"/>
      <c r="D93" s="11"/>
      <c r="E93" s="11"/>
      <c r="F93" s="11"/>
      <c r="G93" s="11"/>
      <c r="H93" s="11"/>
      <c r="I93" s="11"/>
      <c r="J93" s="10"/>
      <c r="K93" s="11"/>
      <c r="L93" s="11"/>
      <c r="M93" s="11"/>
      <c r="N93" s="11"/>
      <c r="O93" s="11"/>
      <c r="P93" s="10"/>
      <c r="Q93" s="10"/>
      <c r="R93" s="11"/>
      <c r="S93" s="12" t="str">
        <f aca="false">IF($A93="","",IF(F93=0,0,G93/F93))</f>
        <v/>
      </c>
      <c r="T93" s="13" t="str">
        <f aca="false">IF($A93="","",MEDIAN(0,0.6*(S93*100)+0.4*H93,100))</f>
        <v/>
      </c>
      <c r="U93" s="13" t="str">
        <f aca="false">IF($A93="","",MEDIAN(0,IF(J93="Sim",45,0)+MEDIAN(0,K93*10,30)+MEDIAN(0,25-I93/3,25),100))</f>
        <v/>
      </c>
      <c r="V93" s="13" t="str">
        <f aca="false">IF($A93="","",MEDIAN(0,0.5*N93+0.3*MEDIAN(0,100-L93*12,100)+0.2*MEDIAN(0,100-M93*40,100),100))</f>
        <v/>
      </c>
      <c r="W93" s="13" t="str">
        <f aca="false">IF($A93="","",MEDIAN(0,IF(P93="Em dia",60,20)+IF(E93&gt;=D93,40,IF(E93&gt;=D93*0.85,20,0)),100))</f>
        <v/>
      </c>
      <c r="X93" s="13" t="str">
        <f aca="false">IF($A93="","",MEDIAN(0,(O93+100)/2,100))</f>
        <v/>
      </c>
      <c r="Y93" s="14" t="str">
        <f aca="false">IF($A93="","",ROUND(0.35*T93+0.2*U93+0.2*V93+0.15*W93+0.1*X93,0))</f>
        <v/>
      </c>
      <c r="Z93" s="14" t="str">
        <f aca="false">IF($A93="","",ROUND(MEDIAN(0,(1-S93)*25+IF(H93&lt;40,15,IF(H93&lt;60,7,0))+IF(J93="Sim",0,18)+IF(K93&lt;=1,10,0)+MEDIAN(0,I93/4,18)+M93*8+IF(E93&lt;D93,12,0)+IF(P93="Atrasado",10,0)+IF(O93&lt;0,8,0),100),0))</f>
        <v/>
      </c>
      <c r="AA93" s="13" t="str">
        <f aca="false">IF(N93="","",IF(OR(E93=0,Y93&lt;45,Z93&gt;=65,AND(R93&lt;=60,Y93&lt;60,E93&gt;0)),"Vermelho",IF(OR(AND(Y93&gt;=45,Y93&lt;70),AND(Z93&gt;=45,Z93&lt;65)),"Amarelo","Verde")))</f>
        <v/>
      </c>
      <c r="AB93" s="13" t="str">
        <f aca="false">IF($A93="","",IF(AND(E93&gt;0,OR(S93&gt;=0.85,AND(Y93&gt;=75,O93&gt;=8,E93&gt;=D93,S93&gt;=0.7))),"Sim","Não"))</f>
        <v/>
      </c>
      <c r="AC93" s="15" t="str">
        <f aca="false">IF($A93="","",IF(AB93="Sim",ROUND(E93*0.25,0),0))</f>
        <v/>
      </c>
    </row>
    <row r="94" customFormat="false" ht="15" hidden="false" customHeight="false" outlineLevel="0" collapsed="false">
      <c r="A94" s="16"/>
      <c r="B94" s="16"/>
      <c r="C94" s="16"/>
      <c r="D94" s="17"/>
      <c r="E94" s="17"/>
      <c r="F94" s="17"/>
      <c r="G94" s="17"/>
      <c r="H94" s="17"/>
      <c r="I94" s="17"/>
      <c r="J94" s="16"/>
      <c r="K94" s="17"/>
      <c r="L94" s="17"/>
      <c r="M94" s="17"/>
      <c r="N94" s="17"/>
      <c r="O94" s="17"/>
      <c r="P94" s="16"/>
      <c r="Q94" s="16"/>
      <c r="R94" s="17"/>
      <c r="S94" s="18" t="str">
        <f aca="false">IF($A94="","",IF(F94=0,0,G94/F94))</f>
        <v/>
      </c>
      <c r="T94" s="19" t="str">
        <f aca="false">IF($A94="","",MEDIAN(0,0.6*(S94*100)+0.4*H94,100))</f>
        <v/>
      </c>
      <c r="U94" s="19" t="str">
        <f aca="false">IF($A94="","",MEDIAN(0,IF(J94="Sim",45,0)+MEDIAN(0,K94*10,30)+MEDIAN(0,25-I94/3,25),100))</f>
        <v/>
      </c>
      <c r="V94" s="19" t="str">
        <f aca="false">IF($A94="","",MEDIAN(0,0.5*N94+0.3*MEDIAN(0,100-L94*12,100)+0.2*MEDIAN(0,100-M94*40,100),100))</f>
        <v/>
      </c>
      <c r="W94" s="19" t="str">
        <f aca="false">IF($A94="","",MEDIAN(0,IF(P94="Em dia",60,20)+IF(E94&gt;=D94,40,IF(E94&gt;=D94*0.85,20,0)),100))</f>
        <v/>
      </c>
      <c r="X94" s="19" t="str">
        <f aca="false">IF($A94="","",MEDIAN(0,(O94+100)/2,100))</f>
        <v/>
      </c>
      <c r="Y94" s="20" t="str">
        <f aca="false">IF($A94="","",ROUND(0.35*T94+0.2*U94+0.2*V94+0.15*W94+0.1*X94,0))</f>
        <v/>
      </c>
      <c r="Z94" s="20" t="str">
        <f aca="false">IF($A94="","",ROUND(MEDIAN(0,(1-S94)*25+IF(H94&lt;40,15,IF(H94&lt;60,7,0))+IF(J94="Sim",0,18)+IF(K94&lt;=1,10,0)+MEDIAN(0,I94/4,18)+M94*8+IF(E94&lt;D94,12,0)+IF(P94="Atrasado",10,0)+IF(O94&lt;0,8,0),100),0))</f>
        <v/>
      </c>
      <c r="AA94" s="19" t="str">
        <f aca="false">IF(N94="","",IF(OR(E94=0,Y94&lt;45,Z94&gt;=65,AND(R94&lt;=60,Y94&lt;60,E94&gt;0)),"Vermelho",IF(OR(AND(Y94&gt;=45,Y94&lt;70),AND(Z94&gt;=45,Z94&lt;65)),"Amarelo","Verde")))</f>
        <v/>
      </c>
      <c r="AB94" s="19" t="str">
        <f aca="false">IF($A94="","",IF(AND(E94&gt;0,OR(S94&gt;=0.85,AND(Y94&gt;=75,O94&gt;=8,E94&gt;=D94,S94&gt;=0.7))),"Sim","Não"))</f>
        <v/>
      </c>
      <c r="AC94" s="21" t="str">
        <f aca="false">IF($A94="","",IF(AB94="Sim",ROUND(E94*0.25,0),0))</f>
        <v/>
      </c>
    </row>
    <row r="95" customFormat="false" ht="15" hidden="false" customHeight="false" outlineLevel="0" collapsed="false">
      <c r="A95" s="10"/>
      <c r="B95" s="10"/>
      <c r="C95" s="10"/>
      <c r="D95" s="11"/>
      <c r="E95" s="11"/>
      <c r="F95" s="11"/>
      <c r="G95" s="11"/>
      <c r="H95" s="11"/>
      <c r="I95" s="11"/>
      <c r="J95" s="10"/>
      <c r="K95" s="11"/>
      <c r="L95" s="11"/>
      <c r="M95" s="11"/>
      <c r="N95" s="11"/>
      <c r="O95" s="11"/>
      <c r="P95" s="10"/>
      <c r="Q95" s="10"/>
      <c r="R95" s="11"/>
      <c r="S95" s="12" t="str">
        <f aca="false">IF($A95="","",IF(F95=0,0,G95/F95))</f>
        <v/>
      </c>
      <c r="T95" s="13" t="str">
        <f aca="false">IF($A95="","",MEDIAN(0,0.6*(S95*100)+0.4*H95,100))</f>
        <v/>
      </c>
      <c r="U95" s="13" t="str">
        <f aca="false">IF($A95="","",MEDIAN(0,IF(J95="Sim",45,0)+MEDIAN(0,K95*10,30)+MEDIAN(0,25-I95/3,25),100))</f>
        <v/>
      </c>
      <c r="V95" s="13" t="str">
        <f aca="false">IF($A95="","",MEDIAN(0,0.5*N95+0.3*MEDIAN(0,100-L95*12,100)+0.2*MEDIAN(0,100-M95*40,100),100))</f>
        <v/>
      </c>
      <c r="W95" s="13" t="str">
        <f aca="false">IF($A95="","",MEDIAN(0,IF(P95="Em dia",60,20)+IF(E95&gt;=D95,40,IF(E95&gt;=D95*0.85,20,0)),100))</f>
        <v/>
      </c>
      <c r="X95" s="13" t="str">
        <f aca="false">IF($A95="","",MEDIAN(0,(O95+100)/2,100))</f>
        <v/>
      </c>
      <c r="Y95" s="14" t="str">
        <f aca="false">IF($A95="","",ROUND(0.35*T95+0.2*U95+0.2*V95+0.15*W95+0.1*X95,0))</f>
        <v/>
      </c>
      <c r="Z95" s="14" t="str">
        <f aca="false">IF($A95="","",ROUND(MEDIAN(0,(1-S95)*25+IF(H95&lt;40,15,IF(H95&lt;60,7,0))+IF(J95="Sim",0,18)+IF(K95&lt;=1,10,0)+MEDIAN(0,I95/4,18)+M95*8+IF(E95&lt;D95,12,0)+IF(P95="Atrasado",10,0)+IF(O95&lt;0,8,0),100),0))</f>
        <v/>
      </c>
      <c r="AA95" s="13" t="str">
        <f aca="false">IF(N95="","",IF(OR(E95=0,Y95&lt;45,Z95&gt;=65,AND(R95&lt;=60,Y95&lt;60,E95&gt;0)),"Vermelho",IF(OR(AND(Y95&gt;=45,Y95&lt;70),AND(Z95&gt;=45,Z95&lt;65)),"Amarelo","Verde")))</f>
        <v/>
      </c>
      <c r="AB95" s="13" t="str">
        <f aca="false">IF($A95="","",IF(AND(E95&gt;0,OR(S95&gt;=0.85,AND(Y95&gt;=75,O95&gt;=8,E95&gt;=D95,S95&gt;=0.7))),"Sim","Não"))</f>
        <v/>
      </c>
      <c r="AC95" s="15" t="str">
        <f aca="false">IF($A95="","",IF(AB95="Sim",ROUND(E95*0.25,0),0))</f>
        <v/>
      </c>
    </row>
    <row r="96" customFormat="false" ht="15" hidden="false" customHeight="false" outlineLevel="0" collapsed="false">
      <c r="A96" s="16"/>
      <c r="B96" s="16"/>
      <c r="C96" s="16"/>
      <c r="D96" s="17"/>
      <c r="E96" s="17"/>
      <c r="F96" s="17"/>
      <c r="G96" s="17"/>
      <c r="H96" s="17"/>
      <c r="I96" s="17"/>
      <c r="J96" s="16"/>
      <c r="K96" s="17"/>
      <c r="L96" s="17"/>
      <c r="M96" s="17"/>
      <c r="N96" s="17"/>
      <c r="O96" s="17"/>
      <c r="P96" s="16"/>
      <c r="Q96" s="16"/>
      <c r="R96" s="17"/>
      <c r="S96" s="18" t="str">
        <f aca="false">IF($A96="","",IF(F96=0,0,G96/F96))</f>
        <v/>
      </c>
      <c r="T96" s="19" t="str">
        <f aca="false">IF($A96="","",MEDIAN(0,0.6*(S96*100)+0.4*H96,100))</f>
        <v/>
      </c>
      <c r="U96" s="19" t="str">
        <f aca="false">IF($A96="","",MEDIAN(0,IF(J96="Sim",45,0)+MEDIAN(0,K96*10,30)+MEDIAN(0,25-I96/3,25),100))</f>
        <v/>
      </c>
      <c r="V96" s="19" t="str">
        <f aca="false">IF($A96="","",MEDIAN(0,0.5*N96+0.3*MEDIAN(0,100-L96*12,100)+0.2*MEDIAN(0,100-M96*40,100),100))</f>
        <v/>
      </c>
      <c r="W96" s="19" t="str">
        <f aca="false">IF($A96="","",MEDIAN(0,IF(P96="Em dia",60,20)+IF(E96&gt;=D96,40,IF(E96&gt;=D96*0.85,20,0)),100))</f>
        <v/>
      </c>
      <c r="X96" s="19" t="str">
        <f aca="false">IF($A96="","",MEDIAN(0,(O96+100)/2,100))</f>
        <v/>
      </c>
      <c r="Y96" s="20" t="str">
        <f aca="false">IF($A96="","",ROUND(0.35*T96+0.2*U96+0.2*V96+0.15*W96+0.1*X96,0))</f>
        <v/>
      </c>
      <c r="Z96" s="20" t="str">
        <f aca="false">IF($A96="","",ROUND(MEDIAN(0,(1-S96)*25+IF(H96&lt;40,15,IF(H96&lt;60,7,0))+IF(J96="Sim",0,18)+IF(K96&lt;=1,10,0)+MEDIAN(0,I96/4,18)+M96*8+IF(E96&lt;D96,12,0)+IF(P96="Atrasado",10,0)+IF(O96&lt;0,8,0),100),0))</f>
        <v/>
      </c>
      <c r="AA96" s="19" t="str">
        <f aca="false">IF(N96="","",IF(OR(E96=0,Y96&lt;45,Z96&gt;=65,AND(R96&lt;=60,Y96&lt;60,E96&gt;0)),"Vermelho",IF(OR(AND(Y96&gt;=45,Y96&lt;70),AND(Z96&gt;=45,Z96&lt;65)),"Amarelo","Verde")))</f>
        <v/>
      </c>
      <c r="AB96" s="19" t="str">
        <f aca="false">IF($A96="","",IF(AND(E96&gt;0,OR(S96&gt;=0.85,AND(Y96&gt;=75,O96&gt;=8,E96&gt;=D96,S96&gt;=0.7))),"Sim","Não"))</f>
        <v/>
      </c>
      <c r="AC96" s="21" t="str">
        <f aca="false">IF($A96="","",IF(AB96="Sim",ROUND(E96*0.25,0),0))</f>
        <v/>
      </c>
    </row>
    <row r="97" customFormat="false" ht="15" hidden="false" customHeight="false" outlineLevel="0" collapsed="false">
      <c r="A97" s="10"/>
      <c r="B97" s="10"/>
      <c r="C97" s="10"/>
      <c r="D97" s="11"/>
      <c r="E97" s="11"/>
      <c r="F97" s="11"/>
      <c r="G97" s="11"/>
      <c r="H97" s="11"/>
      <c r="I97" s="11"/>
      <c r="J97" s="10"/>
      <c r="K97" s="11"/>
      <c r="L97" s="11"/>
      <c r="M97" s="11"/>
      <c r="N97" s="11"/>
      <c r="O97" s="11"/>
      <c r="P97" s="10"/>
      <c r="Q97" s="10"/>
      <c r="R97" s="11"/>
      <c r="S97" s="12" t="str">
        <f aca="false">IF($A97="","",IF(F97=0,0,G97/F97))</f>
        <v/>
      </c>
      <c r="T97" s="13" t="str">
        <f aca="false">IF($A97="","",MEDIAN(0,0.6*(S97*100)+0.4*H97,100))</f>
        <v/>
      </c>
      <c r="U97" s="13" t="str">
        <f aca="false">IF($A97="","",MEDIAN(0,IF(J97="Sim",45,0)+MEDIAN(0,K97*10,30)+MEDIAN(0,25-I97/3,25),100))</f>
        <v/>
      </c>
      <c r="V97" s="13" t="str">
        <f aca="false">IF($A97="","",MEDIAN(0,0.5*N97+0.3*MEDIAN(0,100-L97*12,100)+0.2*MEDIAN(0,100-M97*40,100),100))</f>
        <v/>
      </c>
      <c r="W97" s="13" t="str">
        <f aca="false">IF($A97="","",MEDIAN(0,IF(P97="Em dia",60,20)+IF(E97&gt;=D97,40,IF(E97&gt;=D97*0.85,20,0)),100))</f>
        <v/>
      </c>
      <c r="X97" s="13" t="str">
        <f aca="false">IF($A97="","",MEDIAN(0,(O97+100)/2,100))</f>
        <v/>
      </c>
      <c r="Y97" s="14" t="str">
        <f aca="false">IF($A97="","",ROUND(0.35*T97+0.2*U97+0.2*V97+0.15*W97+0.1*X97,0))</f>
        <v/>
      </c>
      <c r="Z97" s="14" t="str">
        <f aca="false">IF($A97="","",ROUND(MEDIAN(0,(1-S97)*25+IF(H97&lt;40,15,IF(H97&lt;60,7,0))+IF(J97="Sim",0,18)+IF(K97&lt;=1,10,0)+MEDIAN(0,I97/4,18)+M97*8+IF(E97&lt;D97,12,0)+IF(P97="Atrasado",10,0)+IF(O97&lt;0,8,0),100),0))</f>
        <v/>
      </c>
      <c r="AA97" s="13" t="str">
        <f aca="false">IF(N97="","",IF(OR(E97=0,Y97&lt;45,Z97&gt;=65,AND(R97&lt;=60,Y97&lt;60,E97&gt;0)),"Vermelho",IF(OR(AND(Y97&gt;=45,Y97&lt;70),AND(Z97&gt;=45,Z97&lt;65)),"Amarelo","Verde")))</f>
        <v/>
      </c>
      <c r="AB97" s="13" t="str">
        <f aca="false">IF($A97="","",IF(AND(E97&gt;0,OR(S97&gt;=0.85,AND(Y97&gt;=75,O97&gt;=8,E97&gt;=D97,S97&gt;=0.7))),"Sim","Não"))</f>
        <v/>
      </c>
      <c r="AC97" s="15" t="str">
        <f aca="false">IF($A97="","",IF(AB97="Sim",ROUND(E97*0.25,0),0))</f>
        <v/>
      </c>
    </row>
    <row r="98" customFormat="false" ht="15" hidden="false" customHeight="false" outlineLevel="0" collapsed="false">
      <c r="A98" s="16"/>
      <c r="B98" s="16"/>
      <c r="C98" s="16"/>
      <c r="D98" s="17"/>
      <c r="E98" s="17"/>
      <c r="F98" s="17"/>
      <c r="G98" s="17"/>
      <c r="H98" s="17"/>
      <c r="I98" s="17"/>
      <c r="J98" s="16"/>
      <c r="K98" s="17"/>
      <c r="L98" s="17"/>
      <c r="M98" s="17"/>
      <c r="N98" s="17"/>
      <c r="O98" s="17"/>
      <c r="P98" s="16"/>
      <c r="Q98" s="16"/>
      <c r="R98" s="17"/>
      <c r="S98" s="18" t="str">
        <f aca="false">IF($A98="","",IF(F98=0,0,G98/F98))</f>
        <v/>
      </c>
      <c r="T98" s="19" t="str">
        <f aca="false">IF($A98="","",MEDIAN(0,0.6*(S98*100)+0.4*H98,100))</f>
        <v/>
      </c>
      <c r="U98" s="19" t="str">
        <f aca="false">IF($A98="","",MEDIAN(0,IF(J98="Sim",45,0)+MEDIAN(0,K98*10,30)+MEDIAN(0,25-I98/3,25),100))</f>
        <v/>
      </c>
      <c r="V98" s="19" t="str">
        <f aca="false">IF($A98="","",MEDIAN(0,0.5*N98+0.3*MEDIAN(0,100-L98*12,100)+0.2*MEDIAN(0,100-M98*40,100),100))</f>
        <v/>
      </c>
      <c r="W98" s="19" t="str">
        <f aca="false">IF($A98="","",MEDIAN(0,IF(P98="Em dia",60,20)+IF(E98&gt;=D98,40,IF(E98&gt;=D98*0.85,20,0)),100))</f>
        <v/>
      </c>
      <c r="X98" s="19" t="str">
        <f aca="false">IF($A98="","",MEDIAN(0,(O98+100)/2,100))</f>
        <v/>
      </c>
      <c r="Y98" s="20" t="str">
        <f aca="false">IF($A98="","",ROUND(0.35*T98+0.2*U98+0.2*V98+0.15*W98+0.1*X98,0))</f>
        <v/>
      </c>
      <c r="Z98" s="20" t="str">
        <f aca="false">IF($A98="","",ROUND(MEDIAN(0,(1-S98)*25+IF(H98&lt;40,15,IF(H98&lt;60,7,0))+IF(J98="Sim",0,18)+IF(K98&lt;=1,10,0)+MEDIAN(0,I98/4,18)+M98*8+IF(E98&lt;D98,12,0)+IF(P98="Atrasado",10,0)+IF(O98&lt;0,8,0),100),0))</f>
        <v/>
      </c>
      <c r="AA98" s="19" t="str">
        <f aca="false">IF(N98="","",IF(OR(E98=0,Y98&lt;45,Z98&gt;=65,AND(R98&lt;=60,Y98&lt;60,E98&gt;0)),"Vermelho",IF(OR(AND(Y98&gt;=45,Y98&lt;70),AND(Z98&gt;=45,Z98&lt;65)),"Amarelo","Verde")))</f>
        <v/>
      </c>
      <c r="AB98" s="19" t="str">
        <f aca="false">IF($A98="","",IF(AND(E98&gt;0,OR(S98&gt;=0.85,AND(Y98&gt;=75,O98&gt;=8,E98&gt;=D98,S98&gt;=0.7))),"Sim","Não"))</f>
        <v/>
      </c>
      <c r="AC98" s="21" t="str">
        <f aca="false">IF($A98="","",IF(AB98="Sim",ROUND(E98*0.25,0),0))</f>
        <v/>
      </c>
    </row>
    <row r="99" customFormat="false" ht="15" hidden="false" customHeight="false" outlineLevel="0" collapsed="false">
      <c r="A99" s="10"/>
      <c r="B99" s="10"/>
      <c r="C99" s="10"/>
      <c r="D99" s="11"/>
      <c r="E99" s="11"/>
      <c r="F99" s="11"/>
      <c r="G99" s="11"/>
      <c r="H99" s="11"/>
      <c r="I99" s="11"/>
      <c r="J99" s="10"/>
      <c r="K99" s="11"/>
      <c r="L99" s="11"/>
      <c r="M99" s="11"/>
      <c r="N99" s="11"/>
      <c r="O99" s="11"/>
      <c r="P99" s="10"/>
      <c r="Q99" s="10"/>
      <c r="R99" s="11"/>
      <c r="S99" s="12" t="str">
        <f aca="false">IF($A99="","",IF(F99=0,0,G99/F99))</f>
        <v/>
      </c>
      <c r="T99" s="13" t="str">
        <f aca="false">IF($A99="","",MEDIAN(0,0.6*(S99*100)+0.4*H99,100))</f>
        <v/>
      </c>
      <c r="U99" s="13" t="str">
        <f aca="false">IF($A99="","",MEDIAN(0,IF(J99="Sim",45,0)+MEDIAN(0,K99*10,30)+MEDIAN(0,25-I99/3,25),100))</f>
        <v/>
      </c>
      <c r="V99" s="13" t="str">
        <f aca="false">IF($A99="","",MEDIAN(0,0.5*N99+0.3*MEDIAN(0,100-L99*12,100)+0.2*MEDIAN(0,100-M99*40,100),100))</f>
        <v/>
      </c>
      <c r="W99" s="13" t="str">
        <f aca="false">IF($A99="","",MEDIAN(0,IF(P99="Em dia",60,20)+IF(E99&gt;=D99,40,IF(E99&gt;=D99*0.85,20,0)),100))</f>
        <v/>
      </c>
      <c r="X99" s="13" t="str">
        <f aca="false">IF($A99="","",MEDIAN(0,(O99+100)/2,100))</f>
        <v/>
      </c>
      <c r="Y99" s="14" t="str">
        <f aca="false">IF($A99="","",ROUND(0.35*T99+0.2*U99+0.2*V99+0.15*W99+0.1*X99,0))</f>
        <v/>
      </c>
      <c r="Z99" s="14" t="str">
        <f aca="false">IF($A99="","",ROUND(MEDIAN(0,(1-S99)*25+IF(H99&lt;40,15,IF(H99&lt;60,7,0))+IF(J99="Sim",0,18)+IF(K99&lt;=1,10,0)+MEDIAN(0,I99/4,18)+M99*8+IF(E99&lt;D99,12,0)+IF(P99="Atrasado",10,0)+IF(O99&lt;0,8,0),100),0))</f>
        <v/>
      </c>
      <c r="AA99" s="13" t="str">
        <f aca="false">IF(N99="","",IF(OR(E99=0,Y99&lt;45,Z99&gt;=65,AND(R99&lt;=60,Y99&lt;60,E99&gt;0)),"Vermelho",IF(OR(AND(Y99&gt;=45,Y99&lt;70),AND(Z99&gt;=45,Z99&lt;65)),"Amarelo","Verde")))</f>
        <v/>
      </c>
      <c r="AB99" s="13" t="str">
        <f aca="false">IF($A99="","",IF(AND(E99&gt;0,OR(S99&gt;=0.85,AND(Y99&gt;=75,O99&gt;=8,E99&gt;=D99,S99&gt;=0.7))),"Sim","Não"))</f>
        <v/>
      </c>
      <c r="AC99" s="15" t="str">
        <f aca="false">IF($A99="","",IF(AB99="Sim",ROUND(E99*0.25,0),0))</f>
        <v/>
      </c>
    </row>
    <row r="100" customFormat="false" ht="15" hidden="false" customHeight="false" outlineLevel="0" collapsed="false">
      <c r="A100" s="16"/>
      <c r="B100" s="16"/>
      <c r="C100" s="16"/>
      <c r="D100" s="17"/>
      <c r="E100" s="17"/>
      <c r="F100" s="17"/>
      <c r="G100" s="17"/>
      <c r="H100" s="17"/>
      <c r="I100" s="17"/>
      <c r="J100" s="16"/>
      <c r="K100" s="17"/>
      <c r="L100" s="17"/>
      <c r="M100" s="17"/>
      <c r="N100" s="17"/>
      <c r="O100" s="17"/>
      <c r="P100" s="16"/>
      <c r="Q100" s="16"/>
      <c r="R100" s="17"/>
      <c r="S100" s="18" t="str">
        <f aca="false">IF($A100="","",IF(F100=0,0,G100/F100))</f>
        <v/>
      </c>
      <c r="T100" s="19" t="str">
        <f aca="false">IF($A100="","",MEDIAN(0,0.6*(S100*100)+0.4*H100,100))</f>
        <v/>
      </c>
      <c r="U100" s="19" t="str">
        <f aca="false">IF($A100="","",MEDIAN(0,IF(J100="Sim",45,0)+MEDIAN(0,K100*10,30)+MEDIAN(0,25-I100/3,25),100))</f>
        <v/>
      </c>
      <c r="V100" s="19" t="str">
        <f aca="false">IF($A100="","",MEDIAN(0,0.5*N100+0.3*MEDIAN(0,100-L100*12,100)+0.2*MEDIAN(0,100-M100*40,100),100))</f>
        <v/>
      </c>
      <c r="W100" s="19" t="str">
        <f aca="false">IF($A100="","",MEDIAN(0,IF(P100="Em dia",60,20)+IF(E100&gt;=D100,40,IF(E100&gt;=D100*0.85,20,0)),100))</f>
        <v/>
      </c>
      <c r="X100" s="19" t="str">
        <f aca="false">IF($A100="","",MEDIAN(0,(O100+100)/2,100))</f>
        <v/>
      </c>
      <c r="Y100" s="20" t="str">
        <f aca="false">IF($A100="","",ROUND(0.35*T100+0.2*U100+0.2*V100+0.15*W100+0.1*X100,0))</f>
        <v/>
      </c>
      <c r="Z100" s="20" t="str">
        <f aca="false">IF($A100="","",ROUND(MEDIAN(0,(1-S100)*25+IF(H100&lt;40,15,IF(H100&lt;60,7,0))+IF(J100="Sim",0,18)+IF(K100&lt;=1,10,0)+MEDIAN(0,I100/4,18)+M100*8+IF(E100&lt;D100,12,0)+IF(P100="Atrasado",10,0)+IF(O100&lt;0,8,0),100),0))</f>
        <v/>
      </c>
      <c r="AA100" s="19" t="str">
        <f aca="false">IF(N100="","",IF(OR(E100=0,Y100&lt;45,Z100&gt;=65,AND(R100&lt;=60,Y100&lt;60,E100&gt;0)),"Vermelho",IF(OR(AND(Y100&gt;=45,Y100&lt;70),AND(Z100&gt;=45,Z100&lt;65)),"Amarelo","Verde")))</f>
        <v/>
      </c>
      <c r="AB100" s="19" t="str">
        <f aca="false">IF($A100="","",IF(AND(E100&gt;0,OR(S100&gt;=0.85,AND(Y100&gt;=75,O100&gt;=8,E100&gt;=D100,S100&gt;=0.7))),"Sim","Não"))</f>
        <v/>
      </c>
      <c r="AC100" s="21" t="str">
        <f aca="false">IF($A100="","",IF(AB100="Sim",ROUND(E100*0.25,0),0))</f>
        <v/>
      </c>
    </row>
    <row r="101" customFormat="false" ht="15" hidden="false" customHeight="false" outlineLevel="0" collapsed="false">
      <c r="A101" s="10"/>
      <c r="B101" s="10"/>
      <c r="C101" s="10"/>
      <c r="D101" s="11"/>
      <c r="E101" s="11"/>
      <c r="F101" s="11"/>
      <c r="G101" s="11"/>
      <c r="H101" s="11"/>
      <c r="I101" s="11"/>
      <c r="J101" s="10"/>
      <c r="K101" s="11"/>
      <c r="L101" s="11"/>
      <c r="M101" s="11"/>
      <c r="N101" s="11"/>
      <c r="O101" s="11"/>
      <c r="P101" s="10"/>
      <c r="Q101" s="10"/>
      <c r="R101" s="11"/>
      <c r="S101" s="12" t="str">
        <f aca="false">IF($A101="","",IF(F101=0,0,G101/F101))</f>
        <v/>
      </c>
      <c r="T101" s="13" t="str">
        <f aca="false">IF($A101="","",MEDIAN(0,0.6*(S101*100)+0.4*H101,100))</f>
        <v/>
      </c>
      <c r="U101" s="13" t="str">
        <f aca="false">IF($A101="","",MEDIAN(0,IF(J101="Sim",45,0)+MEDIAN(0,K101*10,30)+MEDIAN(0,25-I101/3,25),100))</f>
        <v/>
      </c>
      <c r="V101" s="13" t="str">
        <f aca="false">IF($A101="","",MEDIAN(0,0.5*N101+0.3*MEDIAN(0,100-L101*12,100)+0.2*MEDIAN(0,100-M101*40,100),100))</f>
        <v/>
      </c>
      <c r="W101" s="13" t="str">
        <f aca="false">IF($A101="","",MEDIAN(0,IF(P101="Em dia",60,20)+IF(E101&gt;=D101,40,IF(E101&gt;=D101*0.85,20,0)),100))</f>
        <v/>
      </c>
      <c r="X101" s="13" t="str">
        <f aca="false">IF($A101="","",MEDIAN(0,(O101+100)/2,100))</f>
        <v/>
      </c>
      <c r="Y101" s="14" t="str">
        <f aca="false">IF($A101="","",ROUND(0.35*T101+0.2*U101+0.2*V101+0.15*W101+0.1*X101,0))</f>
        <v/>
      </c>
      <c r="Z101" s="14" t="str">
        <f aca="false">IF($A101="","",ROUND(MEDIAN(0,(1-S101)*25+IF(H101&lt;40,15,IF(H101&lt;60,7,0))+IF(J101="Sim",0,18)+IF(K101&lt;=1,10,0)+MEDIAN(0,I101/4,18)+M101*8+IF(E101&lt;D101,12,0)+IF(P101="Atrasado",10,0)+IF(O101&lt;0,8,0),100),0))</f>
        <v/>
      </c>
      <c r="AA101" s="13" t="str">
        <f aca="false">IF(N101="","",IF(OR(E101=0,Y101&lt;45,Z101&gt;=65,AND(R101&lt;=60,Y101&lt;60,E101&gt;0)),"Vermelho",IF(OR(AND(Y101&gt;=45,Y101&lt;70),AND(Z101&gt;=45,Z101&lt;65)),"Amarelo","Verde")))</f>
        <v/>
      </c>
      <c r="AB101" s="13" t="str">
        <f aca="false">IF($A101="","",IF(AND(E101&gt;0,OR(S101&gt;=0.85,AND(Y101&gt;=75,O101&gt;=8,E101&gt;=D101,S101&gt;=0.7))),"Sim","Não"))</f>
        <v/>
      </c>
      <c r="AC101" s="15" t="str">
        <f aca="false">IF($A101="","",IF(AB101="Sim",ROUND(E101*0.25,0),0))</f>
        <v/>
      </c>
    </row>
    <row r="102" customFormat="false" ht="15" hidden="false" customHeight="false" outlineLevel="0" collapsed="false">
      <c r="A102" s="16"/>
      <c r="B102" s="16"/>
      <c r="C102" s="16"/>
      <c r="D102" s="17"/>
      <c r="E102" s="17"/>
      <c r="F102" s="17"/>
      <c r="G102" s="17"/>
      <c r="H102" s="17"/>
      <c r="I102" s="17"/>
      <c r="J102" s="16"/>
      <c r="K102" s="17"/>
      <c r="L102" s="17"/>
      <c r="M102" s="17"/>
      <c r="N102" s="17"/>
      <c r="O102" s="17"/>
      <c r="P102" s="16"/>
      <c r="Q102" s="16"/>
      <c r="R102" s="17"/>
      <c r="S102" s="18" t="str">
        <f aca="false">IF($A102="","",IF(F102=0,0,G102/F102))</f>
        <v/>
      </c>
      <c r="T102" s="19" t="str">
        <f aca="false">IF($A102="","",MEDIAN(0,0.6*(S102*100)+0.4*H102,100))</f>
        <v/>
      </c>
      <c r="U102" s="19" t="str">
        <f aca="false">IF($A102="","",MEDIAN(0,IF(J102="Sim",45,0)+MEDIAN(0,K102*10,30)+MEDIAN(0,25-I102/3,25),100))</f>
        <v/>
      </c>
      <c r="V102" s="19" t="str">
        <f aca="false">IF($A102="","",MEDIAN(0,0.5*N102+0.3*MEDIAN(0,100-L102*12,100)+0.2*MEDIAN(0,100-M102*40,100),100))</f>
        <v/>
      </c>
      <c r="W102" s="19" t="str">
        <f aca="false">IF($A102="","",MEDIAN(0,IF(P102="Em dia",60,20)+IF(E102&gt;=D102,40,IF(E102&gt;=D102*0.85,20,0)),100))</f>
        <v/>
      </c>
      <c r="X102" s="19" t="str">
        <f aca="false">IF($A102="","",MEDIAN(0,(O102+100)/2,100))</f>
        <v/>
      </c>
      <c r="Y102" s="20" t="str">
        <f aca="false">IF($A102="","",ROUND(0.35*T102+0.2*U102+0.2*V102+0.15*W102+0.1*X102,0))</f>
        <v/>
      </c>
      <c r="Z102" s="20" t="str">
        <f aca="false">IF($A102="","",ROUND(MEDIAN(0,(1-S102)*25+IF(H102&lt;40,15,IF(H102&lt;60,7,0))+IF(J102="Sim",0,18)+IF(K102&lt;=1,10,0)+MEDIAN(0,I102/4,18)+M102*8+IF(E102&lt;D102,12,0)+IF(P102="Atrasado",10,0)+IF(O102&lt;0,8,0),100),0))</f>
        <v/>
      </c>
      <c r="AA102" s="19" t="str">
        <f aca="false">IF(N102="","",IF(OR(E102=0,Y102&lt;45,Z102&gt;=65,AND(R102&lt;=60,Y102&lt;60,E102&gt;0)),"Vermelho",IF(OR(AND(Y102&gt;=45,Y102&lt;70),AND(Z102&gt;=45,Z102&lt;65)),"Amarelo","Verde")))</f>
        <v/>
      </c>
      <c r="AB102" s="19" t="str">
        <f aca="false">IF($A102="","",IF(AND(E102&gt;0,OR(S102&gt;=0.85,AND(Y102&gt;=75,O102&gt;=8,E102&gt;=D102,S102&gt;=0.7))),"Sim","Não"))</f>
        <v/>
      </c>
      <c r="AC102" s="21" t="str">
        <f aca="false">IF($A102="","",IF(AB102="Sim",ROUND(E102*0.25,0),0))</f>
        <v/>
      </c>
    </row>
    <row r="103" customFormat="false" ht="15" hidden="false" customHeight="false" outlineLevel="0" collapsed="false">
      <c r="A103" s="10"/>
      <c r="B103" s="10"/>
      <c r="C103" s="10"/>
      <c r="D103" s="11"/>
      <c r="E103" s="11"/>
      <c r="F103" s="11"/>
      <c r="G103" s="11"/>
      <c r="H103" s="11"/>
      <c r="I103" s="11"/>
      <c r="J103" s="10"/>
      <c r="K103" s="11"/>
      <c r="L103" s="11"/>
      <c r="M103" s="11"/>
      <c r="N103" s="11"/>
      <c r="O103" s="11"/>
      <c r="P103" s="10"/>
      <c r="Q103" s="10"/>
      <c r="R103" s="11"/>
      <c r="S103" s="12" t="str">
        <f aca="false">IF($A103="","",IF(F103=0,0,G103/F103))</f>
        <v/>
      </c>
      <c r="T103" s="13" t="str">
        <f aca="false">IF($A103="","",MEDIAN(0,0.6*(S103*100)+0.4*H103,100))</f>
        <v/>
      </c>
      <c r="U103" s="13" t="str">
        <f aca="false">IF($A103="","",MEDIAN(0,IF(J103="Sim",45,0)+MEDIAN(0,K103*10,30)+MEDIAN(0,25-I103/3,25),100))</f>
        <v/>
      </c>
      <c r="V103" s="13" t="str">
        <f aca="false">IF($A103="","",MEDIAN(0,0.5*N103+0.3*MEDIAN(0,100-L103*12,100)+0.2*MEDIAN(0,100-M103*40,100),100))</f>
        <v/>
      </c>
      <c r="W103" s="13" t="str">
        <f aca="false">IF($A103="","",MEDIAN(0,IF(P103="Em dia",60,20)+IF(E103&gt;=D103,40,IF(E103&gt;=D103*0.85,20,0)),100))</f>
        <v/>
      </c>
      <c r="X103" s="13" t="str">
        <f aca="false">IF($A103="","",MEDIAN(0,(O103+100)/2,100))</f>
        <v/>
      </c>
      <c r="Y103" s="14" t="str">
        <f aca="false">IF($A103="","",ROUND(0.35*T103+0.2*U103+0.2*V103+0.15*W103+0.1*X103,0))</f>
        <v/>
      </c>
      <c r="Z103" s="14" t="str">
        <f aca="false">IF($A103="","",ROUND(MEDIAN(0,(1-S103)*25+IF(H103&lt;40,15,IF(H103&lt;60,7,0))+IF(J103="Sim",0,18)+IF(K103&lt;=1,10,0)+MEDIAN(0,I103/4,18)+M103*8+IF(E103&lt;D103,12,0)+IF(P103="Atrasado",10,0)+IF(O103&lt;0,8,0),100),0))</f>
        <v/>
      </c>
      <c r="AA103" s="13" t="str">
        <f aca="false">IF(N103="","",IF(OR(E103=0,Y103&lt;45,Z103&gt;=65,AND(R103&lt;=60,Y103&lt;60,E103&gt;0)),"Vermelho",IF(OR(AND(Y103&gt;=45,Y103&lt;70),AND(Z103&gt;=45,Z103&lt;65)),"Amarelo","Verde")))</f>
        <v/>
      </c>
      <c r="AB103" s="13" t="str">
        <f aca="false">IF($A103="","",IF(AND(E103&gt;0,OR(S103&gt;=0.85,AND(Y103&gt;=75,O103&gt;=8,E103&gt;=D103,S103&gt;=0.7))),"Sim","Não"))</f>
        <v/>
      </c>
      <c r="AC103" s="15" t="str">
        <f aca="false">IF($A103="","",IF(AB103="Sim",ROUND(E103*0.25,0),0))</f>
        <v/>
      </c>
    </row>
    <row r="104" customFormat="false" ht="15" hidden="false" customHeight="false" outlineLevel="0" collapsed="false">
      <c r="A104" s="16"/>
      <c r="B104" s="16"/>
      <c r="C104" s="16"/>
      <c r="D104" s="17"/>
      <c r="E104" s="17"/>
      <c r="F104" s="17"/>
      <c r="G104" s="17"/>
      <c r="H104" s="17"/>
      <c r="I104" s="17"/>
      <c r="J104" s="16"/>
      <c r="K104" s="17"/>
      <c r="L104" s="17"/>
      <c r="M104" s="17"/>
      <c r="N104" s="17"/>
      <c r="O104" s="17"/>
      <c r="P104" s="16"/>
      <c r="Q104" s="16"/>
      <c r="R104" s="17"/>
      <c r="S104" s="18" t="str">
        <f aca="false">IF($A104="","",IF(F104=0,0,G104/F104))</f>
        <v/>
      </c>
      <c r="T104" s="19" t="str">
        <f aca="false">IF($A104="","",MEDIAN(0,0.6*(S104*100)+0.4*H104,100))</f>
        <v/>
      </c>
      <c r="U104" s="19" t="str">
        <f aca="false">IF($A104="","",MEDIAN(0,IF(J104="Sim",45,0)+MEDIAN(0,K104*10,30)+MEDIAN(0,25-I104/3,25),100))</f>
        <v/>
      </c>
      <c r="V104" s="19" t="str">
        <f aca="false">IF($A104="","",MEDIAN(0,0.5*N104+0.3*MEDIAN(0,100-L104*12,100)+0.2*MEDIAN(0,100-M104*40,100),100))</f>
        <v/>
      </c>
      <c r="W104" s="19" t="str">
        <f aca="false">IF($A104="","",MEDIAN(0,IF(P104="Em dia",60,20)+IF(E104&gt;=D104,40,IF(E104&gt;=D104*0.85,20,0)),100))</f>
        <v/>
      </c>
      <c r="X104" s="19" t="str">
        <f aca="false">IF($A104="","",MEDIAN(0,(O104+100)/2,100))</f>
        <v/>
      </c>
      <c r="Y104" s="20" t="str">
        <f aca="false">IF($A104="","",ROUND(0.35*T104+0.2*U104+0.2*V104+0.15*W104+0.1*X104,0))</f>
        <v/>
      </c>
      <c r="Z104" s="20" t="str">
        <f aca="false">IF($A104="","",ROUND(MEDIAN(0,(1-S104)*25+IF(H104&lt;40,15,IF(H104&lt;60,7,0))+IF(J104="Sim",0,18)+IF(K104&lt;=1,10,0)+MEDIAN(0,I104/4,18)+M104*8+IF(E104&lt;D104,12,0)+IF(P104="Atrasado",10,0)+IF(O104&lt;0,8,0),100),0))</f>
        <v/>
      </c>
      <c r="AA104" s="19" t="str">
        <f aca="false">IF(N104="","",IF(OR(E104=0,Y104&lt;45,Z104&gt;=65,AND(R104&lt;=60,Y104&lt;60,E104&gt;0)),"Vermelho",IF(OR(AND(Y104&gt;=45,Y104&lt;70),AND(Z104&gt;=45,Z104&lt;65)),"Amarelo","Verde")))</f>
        <v/>
      </c>
      <c r="AB104" s="19" t="str">
        <f aca="false">IF($A104="","",IF(AND(E104&gt;0,OR(S104&gt;=0.85,AND(Y104&gt;=75,O104&gt;=8,E104&gt;=D104,S104&gt;=0.7))),"Sim","Não"))</f>
        <v/>
      </c>
      <c r="AC104" s="21" t="str">
        <f aca="false">IF($A104="","",IF(AB104="Sim",ROUND(E104*0.25,0),0))</f>
        <v/>
      </c>
    </row>
    <row r="105" customFormat="false" ht="15" hidden="false" customHeight="false" outlineLevel="0" collapsed="false">
      <c r="A105" s="10"/>
      <c r="B105" s="10"/>
      <c r="C105" s="10"/>
      <c r="D105" s="11"/>
      <c r="E105" s="11"/>
      <c r="F105" s="11"/>
      <c r="G105" s="11"/>
      <c r="H105" s="11"/>
      <c r="I105" s="11"/>
      <c r="J105" s="10"/>
      <c r="K105" s="11"/>
      <c r="L105" s="11"/>
      <c r="M105" s="11"/>
      <c r="N105" s="11"/>
      <c r="O105" s="11"/>
      <c r="P105" s="10"/>
      <c r="Q105" s="10"/>
      <c r="R105" s="11"/>
      <c r="S105" s="12" t="str">
        <f aca="false">IF($A105="","",IF(F105=0,0,G105/F105))</f>
        <v/>
      </c>
      <c r="T105" s="13" t="str">
        <f aca="false">IF($A105="","",MEDIAN(0,0.6*(S105*100)+0.4*H105,100))</f>
        <v/>
      </c>
      <c r="U105" s="13" t="str">
        <f aca="false">IF($A105="","",MEDIAN(0,IF(J105="Sim",45,0)+MEDIAN(0,K105*10,30)+MEDIAN(0,25-I105/3,25),100))</f>
        <v/>
      </c>
      <c r="V105" s="13" t="str">
        <f aca="false">IF($A105="","",MEDIAN(0,0.5*N105+0.3*MEDIAN(0,100-L105*12,100)+0.2*MEDIAN(0,100-M105*40,100),100))</f>
        <v/>
      </c>
      <c r="W105" s="13" t="str">
        <f aca="false">IF($A105="","",MEDIAN(0,IF(P105="Em dia",60,20)+IF(E105&gt;=D105,40,IF(E105&gt;=D105*0.85,20,0)),100))</f>
        <v/>
      </c>
      <c r="X105" s="13" t="str">
        <f aca="false">IF($A105="","",MEDIAN(0,(O105+100)/2,100))</f>
        <v/>
      </c>
      <c r="Y105" s="14" t="str">
        <f aca="false">IF($A105="","",ROUND(0.35*T105+0.2*U105+0.2*V105+0.15*W105+0.1*X105,0))</f>
        <v/>
      </c>
      <c r="Z105" s="14" t="str">
        <f aca="false">IF($A105="","",ROUND(MEDIAN(0,(1-S105)*25+IF(H105&lt;40,15,IF(H105&lt;60,7,0))+IF(J105="Sim",0,18)+IF(K105&lt;=1,10,0)+MEDIAN(0,I105/4,18)+M105*8+IF(E105&lt;D105,12,0)+IF(P105="Atrasado",10,0)+IF(O105&lt;0,8,0),100),0))</f>
        <v/>
      </c>
      <c r="AA105" s="13" t="str">
        <f aca="false">IF(N105="","",IF(OR(E105=0,Y105&lt;45,Z105&gt;=65,AND(R105&lt;=60,Y105&lt;60,E105&gt;0)),"Vermelho",IF(OR(AND(Y105&gt;=45,Y105&lt;70),AND(Z105&gt;=45,Z105&lt;65)),"Amarelo","Verde")))</f>
        <v/>
      </c>
      <c r="AB105" s="13" t="str">
        <f aca="false">IF($A105="","",IF(AND(E105&gt;0,OR(S105&gt;=0.85,AND(Y105&gt;=75,O105&gt;=8,E105&gt;=D105,S105&gt;=0.7))),"Sim","Não"))</f>
        <v/>
      </c>
      <c r="AC105" s="15" t="str">
        <f aca="false">IF($A105="","",IF(AB105="Sim",ROUND(E105*0.25,0),0))</f>
        <v/>
      </c>
    </row>
    <row r="106" customFormat="false" ht="15" hidden="false" customHeight="false" outlineLevel="0" collapsed="false">
      <c r="A106" s="16"/>
      <c r="B106" s="16"/>
      <c r="C106" s="16"/>
      <c r="D106" s="17"/>
      <c r="E106" s="17"/>
      <c r="F106" s="17"/>
      <c r="G106" s="17"/>
      <c r="H106" s="17"/>
      <c r="I106" s="17"/>
      <c r="J106" s="16"/>
      <c r="K106" s="17"/>
      <c r="L106" s="17"/>
      <c r="M106" s="17"/>
      <c r="N106" s="17"/>
      <c r="O106" s="17"/>
      <c r="P106" s="16"/>
      <c r="Q106" s="16"/>
      <c r="R106" s="17"/>
      <c r="S106" s="18" t="str">
        <f aca="false">IF($A106="","",IF(F106=0,0,G106/F106))</f>
        <v/>
      </c>
      <c r="T106" s="19" t="str">
        <f aca="false">IF($A106="","",MEDIAN(0,0.6*(S106*100)+0.4*H106,100))</f>
        <v/>
      </c>
      <c r="U106" s="19" t="str">
        <f aca="false">IF($A106="","",MEDIAN(0,IF(J106="Sim",45,0)+MEDIAN(0,K106*10,30)+MEDIAN(0,25-I106/3,25),100))</f>
        <v/>
      </c>
      <c r="V106" s="19" t="str">
        <f aca="false">IF($A106="","",MEDIAN(0,0.5*N106+0.3*MEDIAN(0,100-L106*12,100)+0.2*MEDIAN(0,100-M106*40,100),100))</f>
        <v/>
      </c>
      <c r="W106" s="19" t="str">
        <f aca="false">IF($A106="","",MEDIAN(0,IF(P106="Em dia",60,20)+IF(E106&gt;=D106,40,IF(E106&gt;=D106*0.85,20,0)),100))</f>
        <v/>
      </c>
      <c r="X106" s="19" t="str">
        <f aca="false">IF($A106="","",MEDIAN(0,(O106+100)/2,100))</f>
        <v/>
      </c>
      <c r="Y106" s="20" t="str">
        <f aca="false">IF($A106="","",ROUND(0.35*T106+0.2*U106+0.2*V106+0.15*W106+0.1*X106,0))</f>
        <v/>
      </c>
      <c r="Z106" s="20" t="str">
        <f aca="false">IF($A106="","",ROUND(MEDIAN(0,(1-S106)*25+IF(H106&lt;40,15,IF(H106&lt;60,7,0))+IF(J106="Sim",0,18)+IF(K106&lt;=1,10,0)+MEDIAN(0,I106/4,18)+M106*8+IF(E106&lt;D106,12,0)+IF(P106="Atrasado",10,0)+IF(O106&lt;0,8,0),100),0))</f>
        <v/>
      </c>
      <c r="AA106" s="19" t="str">
        <f aca="false">IF(N106="","",IF(OR(E106=0,Y106&lt;45,Z106&gt;=65,AND(R106&lt;=60,Y106&lt;60,E106&gt;0)),"Vermelho",IF(OR(AND(Y106&gt;=45,Y106&lt;70),AND(Z106&gt;=45,Z106&lt;65)),"Amarelo","Verde")))</f>
        <v/>
      </c>
      <c r="AB106" s="19" t="str">
        <f aca="false">IF($A106="","",IF(AND(E106&gt;0,OR(S106&gt;=0.85,AND(Y106&gt;=75,O106&gt;=8,E106&gt;=D106,S106&gt;=0.7))),"Sim","Não"))</f>
        <v/>
      </c>
      <c r="AC106" s="21" t="str">
        <f aca="false">IF($A106="","",IF(AB106="Sim",ROUND(E106*0.25,0),0))</f>
        <v/>
      </c>
    </row>
    <row r="107" customFormat="false" ht="15" hidden="false" customHeight="false" outlineLevel="0" collapsed="false">
      <c r="A107" s="10"/>
      <c r="B107" s="10"/>
      <c r="C107" s="10"/>
      <c r="D107" s="11"/>
      <c r="E107" s="11"/>
      <c r="F107" s="11"/>
      <c r="G107" s="11"/>
      <c r="H107" s="11"/>
      <c r="I107" s="11"/>
      <c r="J107" s="10"/>
      <c r="K107" s="11"/>
      <c r="L107" s="11"/>
      <c r="M107" s="11"/>
      <c r="N107" s="11"/>
      <c r="O107" s="11"/>
      <c r="P107" s="10"/>
      <c r="Q107" s="10"/>
      <c r="R107" s="11"/>
      <c r="S107" s="12" t="str">
        <f aca="false">IF($A107="","",IF(F107=0,0,G107/F107))</f>
        <v/>
      </c>
      <c r="T107" s="13" t="str">
        <f aca="false">IF($A107="","",MEDIAN(0,0.6*(S107*100)+0.4*H107,100))</f>
        <v/>
      </c>
      <c r="U107" s="13" t="str">
        <f aca="false">IF($A107="","",MEDIAN(0,IF(J107="Sim",45,0)+MEDIAN(0,K107*10,30)+MEDIAN(0,25-I107/3,25),100))</f>
        <v/>
      </c>
      <c r="V107" s="13" t="str">
        <f aca="false">IF($A107="","",MEDIAN(0,0.5*N107+0.3*MEDIAN(0,100-L107*12,100)+0.2*MEDIAN(0,100-M107*40,100),100))</f>
        <v/>
      </c>
      <c r="W107" s="13" t="str">
        <f aca="false">IF($A107="","",MEDIAN(0,IF(P107="Em dia",60,20)+IF(E107&gt;=D107,40,IF(E107&gt;=D107*0.85,20,0)),100))</f>
        <v/>
      </c>
      <c r="X107" s="13" t="str">
        <f aca="false">IF($A107="","",MEDIAN(0,(O107+100)/2,100))</f>
        <v/>
      </c>
      <c r="Y107" s="14" t="str">
        <f aca="false">IF($A107="","",ROUND(0.35*T107+0.2*U107+0.2*V107+0.15*W107+0.1*X107,0))</f>
        <v/>
      </c>
      <c r="Z107" s="14" t="str">
        <f aca="false">IF($A107="","",ROUND(MEDIAN(0,(1-S107)*25+IF(H107&lt;40,15,IF(H107&lt;60,7,0))+IF(J107="Sim",0,18)+IF(K107&lt;=1,10,0)+MEDIAN(0,I107/4,18)+M107*8+IF(E107&lt;D107,12,0)+IF(P107="Atrasado",10,0)+IF(O107&lt;0,8,0),100),0))</f>
        <v/>
      </c>
      <c r="AA107" s="13" t="str">
        <f aca="false">IF(N107="","",IF(OR(E107=0,Y107&lt;45,Z107&gt;=65,AND(R107&lt;=60,Y107&lt;60,E107&gt;0)),"Vermelho",IF(OR(AND(Y107&gt;=45,Y107&lt;70),AND(Z107&gt;=45,Z107&lt;65)),"Amarelo","Verde")))</f>
        <v/>
      </c>
      <c r="AB107" s="13" t="str">
        <f aca="false">IF($A107="","",IF(AND(E107&gt;0,OR(S107&gt;=0.85,AND(Y107&gt;=75,O107&gt;=8,E107&gt;=D107,S107&gt;=0.7))),"Sim","Não"))</f>
        <v/>
      </c>
      <c r="AC107" s="15" t="str">
        <f aca="false">IF($A107="","",IF(AB107="Sim",ROUND(E107*0.25,0),0))</f>
        <v/>
      </c>
    </row>
    <row r="108" customFormat="false" ht="15" hidden="false" customHeight="false" outlineLevel="0" collapsed="false">
      <c r="A108" s="16"/>
      <c r="B108" s="16"/>
      <c r="C108" s="16"/>
      <c r="D108" s="17"/>
      <c r="E108" s="17"/>
      <c r="F108" s="17"/>
      <c r="G108" s="17"/>
      <c r="H108" s="17"/>
      <c r="I108" s="17"/>
      <c r="J108" s="16"/>
      <c r="K108" s="17"/>
      <c r="L108" s="17"/>
      <c r="M108" s="17"/>
      <c r="N108" s="17"/>
      <c r="O108" s="17"/>
      <c r="P108" s="16"/>
      <c r="Q108" s="16"/>
      <c r="R108" s="17"/>
      <c r="S108" s="18" t="str">
        <f aca="false">IF($A108="","",IF(F108=0,0,G108/F108))</f>
        <v/>
      </c>
      <c r="T108" s="19" t="str">
        <f aca="false">IF($A108="","",MEDIAN(0,0.6*(S108*100)+0.4*H108,100))</f>
        <v/>
      </c>
      <c r="U108" s="19" t="str">
        <f aca="false">IF($A108="","",MEDIAN(0,IF(J108="Sim",45,0)+MEDIAN(0,K108*10,30)+MEDIAN(0,25-I108/3,25),100))</f>
        <v/>
      </c>
      <c r="V108" s="19" t="str">
        <f aca="false">IF($A108="","",MEDIAN(0,0.5*N108+0.3*MEDIAN(0,100-L108*12,100)+0.2*MEDIAN(0,100-M108*40,100),100))</f>
        <v/>
      </c>
      <c r="W108" s="19" t="str">
        <f aca="false">IF($A108="","",MEDIAN(0,IF(P108="Em dia",60,20)+IF(E108&gt;=D108,40,IF(E108&gt;=D108*0.85,20,0)),100))</f>
        <v/>
      </c>
      <c r="X108" s="19" t="str">
        <f aca="false">IF($A108="","",MEDIAN(0,(O108+100)/2,100))</f>
        <v/>
      </c>
      <c r="Y108" s="20" t="str">
        <f aca="false">IF($A108="","",ROUND(0.35*T108+0.2*U108+0.2*V108+0.15*W108+0.1*X108,0))</f>
        <v/>
      </c>
      <c r="Z108" s="20" t="str">
        <f aca="false">IF($A108="","",ROUND(MEDIAN(0,(1-S108)*25+IF(H108&lt;40,15,IF(H108&lt;60,7,0))+IF(J108="Sim",0,18)+IF(K108&lt;=1,10,0)+MEDIAN(0,I108/4,18)+M108*8+IF(E108&lt;D108,12,0)+IF(P108="Atrasado",10,0)+IF(O108&lt;0,8,0),100),0))</f>
        <v/>
      </c>
      <c r="AA108" s="19" t="str">
        <f aca="false">IF(N108="","",IF(OR(E108=0,Y108&lt;45,Z108&gt;=65,AND(R108&lt;=60,Y108&lt;60,E108&gt;0)),"Vermelho",IF(OR(AND(Y108&gt;=45,Y108&lt;70),AND(Z108&gt;=45,Z108&lt;65)),"Amarelo","Verde")))</f>
        <v/>
      </c>
      <c r="AB108" s="19" t="str">
        <f aca="false">IF($A108="","",IF(AND(E108&gt;0,OR(S108&gt;=0.85,AND(Y108&gt;=75,O108&gt;=8,E108&gt;=D108,S108&gt;=0.7))),"Sim","Não"))</f>
        <v/>
      </c>
      <c r="AC108" s="21" t="str">
        <f aca="false">IF($A108="","",IF(AB108="Sim",ROUND(E108*0.25,0),0))</f>
        <v/>
      </c>
    </row>
    <row r="109" customFormat="false" ht="15" hidden="false" customHeight="false" outlineLevel="0" collapsed="false">
      <c r="A109" s="10"/>
      <c r="B109" s="10"/>
      <c r="C109" s="10"/>
      <c r="D109" s="11"/>
      <c r="E109" s="11"/>
      <c r="F109" s="11"/>
      <c r="G109" s="11"/>
      <c r="H109" s="11"/>
      <c r="I109" s="11"/>
      <c r="J109" s="10"/>
      <c r="K109" s="11"/>
      <c r="L109" s="11"/>
      <c r="M109" s="11"/>
      <c r="N109" s="11"/>
      <c r="O109" s="11"/>
      <c r="P109" s="10"/>
      <c r="Q109" s="10"/>
      <c r="R109" s="11"/>
      <c r="S109" s="12" t="str">
        <f aca="false">IF($A109="","",IF(F109=0,0,G109/F109))</f>
        <v/>
      </c>
      <c r="T109" s="13" t="str">
        <f aca="false">IF($A109="","",MEDIAN(0,0.6*(S109*100)+0.4*H109,100))</f>
        <v/>
      </c>
      <c r="U109" s="13" t="str">
        <f aca="false">IF($A109="","",MEDIAN(0,IF(J109="Sim",45,0)+MEDIAN(0,K109*10,30)+MEDIAN(0,25-I109/3,25),100))</f>
        <v/>
      </c>
      <c r="V109" s="13" t="str">
        <f aca="false">IF($A109="","",MEDIAN(0,0.5*N109+0.3*MEDIAN(0,100-L109*12,100)+0.2*MEDIAN(0,100-M109*40,100),100))</f>
        <v/>
      </c>
      <c r="W109" s="13" t="str">
        <f aca="false">IF($A109="","",MEDIAN(0,IF(P109="Em dia",60,20)+IF(E109&gt;=D109,40,IF(E109&gt;=D109*0.85,20,0)),100))</f>
        <v/>
      </c>
      <c r="X109" s="13" t="str">
        <f aca="false">IF($A109="","",MEDIAN(0,(O109+100)/2,100))</f>
        <v/>
      </c>
      <c r="Y109" s="14" t="str">
        <f aca="false">IF($A109="","",ROUND(0.35*T109+0.2*U109+0.2*V109+0.15*W109+0.1*X109,0))</f>
        <v/>
      </c>
      <c r="Z109" s="14" t="str">
        <f aca="false">IF($A109="","",ROUND(MEDIAN(0,(1-S109)*25+IF(H109&lt;40,15,IF(H109&lt;60,7,0))+IF(J109="Sim",0,18)+IF(K109&lt;=1,10,0)+MEDIAN(0,I109/4,18)+M109*8+IF(E109&lt;D109,12,0)+IF(P109="Atrasado",10,0)+IF(O109&lt;0,8,0),100),0))</f>
        <v/>
      </c>
      <c r="AA109" s="13" t="str">
        <f aca="false">IF(N109="","",IF(OR(E109=0,Y109&lt;45,Z109&gt;=65,AND(R109&lt;=60,Y109&lt;60,E109&gt;0)),"Vermelho",IF(OR(AND(Y109&gt;=45,Y109&lt;70),AND(Z109&gt;=45,Z109&lt;65)),"Amarelo","Verde")))</f>
        <v/>
      </c>
      <c r="AB109" s="13" t="str">
        <f aca="false">IF($A109="","",IF(AND(E109&gt;0,OR(S109&gt;=0.85,AND(Y109&gt;=75,O109&gt;=8,E109&gt;=D109,S109&gt;=0.7))),"Sim","Não"))</f>
        <v/>
      </c>
      <c r="AC109" s="15" t="str">
        <f aca="false">IF($A109="","",IF(AB109="Sim",ROUND(E109*0.25,0),0))</f>
        <v/>
      </c>
    </row>
    <row r="110" customFormat="false" ht="15" hidden="false" customHeight="false" outlineLevel="0" collapsed="false">
      <c r="A110" s="16"/>
      <c r="B110" s="16"/>
      <c r="C110" s="16"/>
      <c r="D110" s="17"/>
      <c r="E110" s="17"/>
      <c r="F110" s="17"/>
      <c r="G110" s="17"/>
      <c r="H110" s="17"/>
      <c r="I110" s="17"/>
      <c r="J110" s="16"/>
      <c r="K110" s="17"/>
      <c r="L110" s="17"/>
      <c r="M110" s="17"/>
      <c r="N110" s="17"/>
      <c r="O110" s="17"/>
      <c r="P110" s="16"/>
      <c r="Q110" s="16"/>
      <c r="R110" s="17"/>
      <c r="S110" s="18" t="str">
        <f aca="false">IF($A110="","",IF(F110=0,0,G110/F110))</f>
        <v/>
      </c>
      <c r="T110" s="19" t="str">
        <f aca="false">IF($A110="","",MEDIAN(0,0.6*(S110*100)+0.4*H110,100))</f>
        <v/>
      </c>
      <c r="U110" s="19" t="str">
        <f aca="false">IF($A110="","",MEDIAN(0,IF(J110="Sim",45,0)+MEDIAN(0,K110*10,30)+MEDIAN(0,25-I110/3,25),100))</f>
        <v/>
      </c>
      <c r="V110" s="19" t="str">
        <f aca="false">IF($A110="","",MEDIAN(0,0.5*N110+0.3*MEDIAN(0,100-L110*12,100)+0.2*MEDIAN(0,100-M110*40,100),100))</f>
        <v/>
      </c>
      <c r="W110" s="19" t="str">
        <f aca="false">IF($A110="","",MEDIAN(0,IF(P110="Em dia",60,20)+IF(E110&gt;=D110,40,IF(E110&gt;=D110*0.85,20,0)),100))</f>
        <v/>
      </c>
      <c r="X110" s="19" t="str">
        <f aca="false">IF($A110="","",MEDIAN(0,(O110+100)/2,100))</f>
        <v/>
      </c>
      <c r="Y110" s="20" t="str">
        <f aca="false">IF($A110="","",ROUND(0.35*T110+0.2*U110+0.2*V110+0.15*W110+0.1*X110,0))</f>
        <v/>
      </c>
      <c r="Z110" s="20" t="str">
        <f aca="false">IF($A110="","",ROUND(MEDIAN(0,(1-S110)*25+IF(H110&lt;40,15,IF(H110&lt;60,7,0))+IF(J110="Sim",0,18)+IF(K110&lt;=1,10,0)+MEDIAN(0,I110/4,18)+M110*8+IF(E110&lt;D110,12,0)+IF(P110="Atrasado",10,0)+IF(O110&lt;0,8,0),100),0))</f>
        <v/>
      </c>
      <c r="AA110" s="19" t="str">
        <f aca="false">IF(N110="","",IF(OR(E110=0,Y110&lt;45,Z110&gt;=65,AND(R110&lt;=60,Y110&lt;60,E110&gt;0)),"Vermelho",IF(OR(AND(Y110&gt;=45,Y110&lt;70),AND(Z110&gt;=45,Z110&lt;65)),"Amarelo","Verde")))</f>
        <v/>
      </c>
      <c r="AB110" s="19" t="str">
        <f aca="false">IF($A110="","",IF(AND(E110&gt;0,OR(S110&gt;=0.85,AND(Y110&gt;=75,O110&gt;=8,E110&gt;=D110,S110&gt;=0.7))),"Sim","Não"))</f>
        <v/>
      </c>
      <c r="AC110" s="21" t="str">
        <f aca="false">IF($A110="","",IF(AB110="Sim",ROUND(E110*0.25,0),0))</f>
        <v/>
      </c>
    </row>
    <row r="111" customFormat="false" ht="15" hidden="false" customHeight="false" outlineLevel="0" collapsed="false">
      <c r="A111" s="10"/>
      <c r="B111" s="10"/>
      <c r="C111" s="10"/>
      <c r="D111" s="11"/>
      <c r="E111" s="11"/>
      <c r="F111" s="11"/>
      <c r="G111" s="11"/>
      <c r="H111" s="11"/>
      <c r="I111" s="11"/>
      <c r="J111" s="10"/>
      <c r="K111" s="11"/>
      <c r="L111" s="11"/>
      <c r="M111" s="11"/>
      <c r="N111" s="11"/>
      <c r="O111" s="11"/>
      <c r="P111" s="10"/>
      <c r="Q111" s="10"/>
      <c r="R111" s="11"/>
      <c r="S111" s="12" t="str">
        <f aca="false">IF($A111="","",IF(F111=0,0,G111/F111))</f>
        <v/>
      </c>
      <c r="T111" s="13" t="str">
        <f aca="false">IF($A111="","",MEDIAN(0,0.6*(S111*100)+0.4*H111,100))</f>
        <v/>
      </c>
      <c r="U111" s="13" t="str">
        <f aca="false">IF($A111="","",MEDIAN(0,IF(J111="Sim",45,0)+MEDIAN(0,K111*10,30)+MEDIAN(0,25-I111/3,25),100))</f>
        <v/>
      </c>
      <c r="V111" s="13" t="str">
        <f aca="false">IF($A111="","",MEDIAN(0,0.5*N111+0.3*MEDIAN(0,100-L111*12,100)+0.2*MEDIAN(0,100-M111*40,100),100))</f>
        <v/>
      </c>
      <c r="W111" s="13" t="str">
        <f aca="false">IF($A111="","",MEDIAN(0,IF(P111="Em dia",60,20)+IF(E111&gt;=D111,40,IF(E111&gt;=D111*0.85,20,0)),100))</f>
        <v/>
      </c>
      <c r="X111" s="13" t="str">
        <f aca="false">IF($A111="","",MEDIAN(0,(O111+100)/2,100))</f>
        <v/>
      </c>
      <c r="Y111" s="14" t="str">
        <f aca="false">IF($A111="","",ROUND(0.35*T111+0.2*U111+0.2*V111+0.15*W111+0.1*X111,0))</f>
        <v/>
      </c>
      <c r="Z111" s="14" t="str">
        <f aca="false">IF($A111="","",ROUND(MEDIAN(0,(1-S111)*25+IF(H111&lt;40,15,IF(H111&lt;60,7,0))+IF(J111="Sim",0,18)+IF(K111&lt;=1,10,0)+MEDIAN(0,I111/4,18)+M111*8+IF(E111&lt;D111,12,0)+IF(P111="Atrasado",10,0)+IF(O111&lt;0,8,0),100),0))</f>
        <v/>
      </c>
      <c r="AA111" s="13" t="str">
        <f aca="false">IF(N111="","",IF(OR(E111=0,Y111&lt;45,Z111&gt;=65,AND(R111&lt;=60,Y111&lt;60,E111&gt;0)),"Vermelho",IF(OR(AND(Y111&gt;=45,Y111&lt;70),AND(Z111&gt;=45,Z111&lt;65)),"Amarelo","Verde")))</f>
        <v/>
      </c>
      <c r="AB111" s="13" t="str">
        <f aca="false">IF($A111="","",IF(AND(E111&gt;0,OR(S111&gt;=0.85,AND(Y111&gt;=75,O111&gt;=8,E111&gt;=D111,S111&gt;=0.7))),"Sim","Não"))</f>
        <v/>
      </c>
      <c r="AC111" s="15" t="str">
        <f aca="false">IF($A111="","",IF(AB111="Sim",ROUND(E111*0.25,0),0))</f>
        <v/>
      </c>
    </row>
    <row r="112" customFormat="false" ht="15" hidden="false" customHeight="false" outlineLevel="0" collapsed="false">
      <c r="A112" s="16"/>
      <c r="B112" s="16"/>
      <c r="C112" s="16"/>
      <c r="D112" s="17"/>
      <c r="E112" s="17"/>
      <c r="F112" s="17"/>
      <c r="G112" s="17"/>
      <c r="H112" s="17"/>
      <c r="I112" s="17"/>
      <c r="J112" s="16"/>
      <c r="K112" s="17"/>
      <c r="L112" s="17"/>
      <c r="M112" s="17"/>
      <c r="N112" s="17"/>
      <c r="O112" s="17"/>
      <c r="P112" s="16"/>
      <c r="Q112" s="16"/>
      <c r="R112" s="17"/>
      <c r="S112" s="18" t="str">
        <f aca="false">IF($A112="","",IF(F112=0,0,G112/F112))</f>
        <v/>
      </c>
      <c r="T112" s="19" t="str">
        <f aca="false">IF($A112="","",MEDIAN(0,0.6*(S112*100)+0.4*H112,100))</f>
        <v/>
      </c>
      <c r="U112" s="19" t="str">
        <f aca="false">IF($A112="","",MEDIAN(0,IF(J112="Sim",45,0)+MEDIAN(0,K112*10,30)+MEDIAN(0,25-I112/3,25),100))</f>
        <v/>
      </c>
      <c r="V112" s="19" t="str">
        <f aca="false">IF($A112="","",MEDIAN(0,0.5*N112+0.3*MEDIAN(0,100-L112*12,100)+0.2*MEDIAN(0,100-M112*40,100),100))</f>
        <v/>
      </c>
      <c r="W112" s="19" t="str">
        <f aca="false">IF($A112="","",MEDIAN(0,IF(P112="Em dia",60,20)+IF(E112&gt;=D112,40,IF(E112&gt;=D112*0.85,20,0)),100))</f>
        <v/>
      </c>
      <c r="X112" s="19" t="str">
        <f aca="false">IF($A112="","",MEDIAN(0,(O112+100)/2,100))</f>
        <v/>
      </c>
      <c r="Y112" s="20" t="str">
        <f aca="false">IF($A112="","",ROUND(0.35*T112+0.2*U112+0.2*V112+0.15*W112+0.1*X112,0))</f>
        <v/>
      </c>
      <c r="Z112" s="20" t="str">
        <f aca="false">IF($A112="","",ROUND(MEDIAN(0,(1-S112)*25+IF(H112&lt;40,15,IF(H112&lt;60,7,0))+IF(J112="Sim",0,18)+IF(K112&lt;=1,10,0)+MEDIAN(0,I112/4,18)+M112*8+IF(E112&lt;D112,12,0)+IF(P112="Atrasado",10,0)+IF(O112&lt;0,8,0),100),0))</f>
        <v/>
      </c>
      <c r="AA112" s="19" t="str">
        <f aca="false">IF(N112="","",IF(OR(E112=0,Y112&lt;45,Z112&gt;=65,AND(R112&lt;=60,Y112&lt;60,E112&gt;0)),"Vermelho",IF(OR(AND(Y112&gt;=45,Y112&lt;70),AND(Z112&gt;=45,Z112&lt;65)),"Amarelo","Verde")))</f>
        <v/>
      </c>
      <c r="AB112" s="19" t="str">
        <f aca="false">IF($A112="","",IF(AND(E112&gt;0,OR(S112&gt;=0.85,AND(Y112&gt;=75,O112&gt;=8,E112&gt;=D112,S112&gt;=0.7))),"Sim","Não"))</f>
        <v/>
      </c>
      <c r="AC112" s="21" t="str">
        <f aca="false">IF($A112="","",IF(AB112="Sim",ROUND(E112*0.25,0),0))</f>
        <v/>
      </c>
    </row>
    <row r="113" customFormat="false" ht="15" hidden="false" customHeight="false" outlineLevel="0" collapsed="false">
      <c r="A113" s="10"/>
      <c r="B113" s="10"/>
      <c r="C113" s="10"/>
      <c r="D113" s="11"/>
      <c r="E113" s="11"/>
      <c r="F113" s="11"/>
      <c r="G113" s="11"/>
      <c r="H113" s="11"/>
      <c r="I113" s="11"/>
      <c r="J113" s="10"/>
      <c r="K113" s="11"/>
      <c r="L113" s="11"/>
      <c r="M113" s="11"/>
      <c r="N113" s="11"/>
      <c r="O113" s="11"/>
      <c r="P113" s="10"/>
      <c r="Q113" s="10"/>
      <c r="R113" s="11"/>
      <c r="S113" s="12" t="str">
        <f aca="false">IF($A113="","",IF(F113=0,0,G113/F113))</f>
        <v/>
      </c>
      <c r="T113" s="13" t="str">
        <f aca="false">IF($A113="","",MEDIAN(0,0.6*(S113*100)+0.4*H113,100))</f>
        <v/>
      </c>
      <c r="U113" s="13" t="str">
        <f aca="false">IF($A113="","",MEDIAN(0,IF(J113="Sim",45,0)+MEDIAN(0,K113*10,30)+MEDIAN(0,25-I113/3,25),100))</f>
        <v/>
      </c>
      <c r="V113" s="13" t="str">
        <f aca="false">IF($A113="","",MEDIAN(0,0.5*N113+0.3*MEDIAN(0,100-L113*12,100)+0.2*MEDIAN(0,100-M113*40,100),100))</f>
        <v/>
      </c>
      <c r="W113" s="13" t="str">
        <f aca="false">IF($A113="","",MEDIAN(0,IF(P113="Em dia",60,20)+IF(E113&gt;=D113,40,IF(E113&gt;=D113*0.85,20,0)),100))</f>
        <v/>
      </c>
      <c r="X113" s="13" t="str">
        <f aca="false">IF($A113="","",MEDIAN(0,(O113+100)/2,100))</f>
        <v/>
      </c>
      <c r="Y113" s="14" t="str">
        <f aca="false">IF($A113="","",ROUND(0.35*T113+0.2*U113+0.2*V113+0.15*W113+0.1*X113,0))</f>
        <v/>
      </c>
      <c r="Z113" s="14" t="str">
        <f aca="false">IF($A113="","",ROUND(MEDIAN(0,(1-S113)*25+IF(H113&lt;40,15,IF(H113&lt;60,7,0))+IF(J113="Sim",0,18)+IF(K113&lt;=1,10,0)+MEDIAN(0,I113/4,18)+M113*8+IF(E113&lt;D113,12,0)+IF(P113="Atrasado",10,0)+IF(O113&lt;0,8,0),100),0))</f>
        <v/>
      </c>
      <c r="AA113" s="13" t="str">
        <f aca="false">IF(N113="","",IF(OR(E113=0,Y113&lt;45,Z113&gt;=65,AND(R113&lt;=60,Y113&lt;60,E113&gt;0)),"Vermelho",IF(OR(AND(Y113&gt;=45,Y113&lt;70),AND(Z113&gt;=45,Z113&lt;65)),"Amarelo","Verde")))</f>
        <v/>
      </c>
      <c r="AB113" s="13" t="str">
        <f aca="false">IF($A113="","",IF(AND(E113&gt;0,OR(S113&gt;=0.85,AND(Y113&gt;=75,O113&gt;=8,E113&gt;=D113,S113&gt;=0.7))),"Sim","Não"))</f>
        <v/>
      </c>
      <c r="AC113" s="15" t="str">
        <f aca="false">IF($A113="","",IF(AB113="Sim",ROUND(E113*0.25,0),0))</f>
        <v/>
      </c>
    </row>
    <row r="114" customFormat="false" ht="15" hidden="false" customHeight="false" outlineLevel="0" collapsed="false">
      <c r="A114" s="16"/>
      <c r="B114" s="16"/>
      <c r="C114" s="16"/>
      <c r="D114" s="17"/>
      <c r="E114" s="17"/>
      <c r="F114" s="17"/>
      <c r="G114" s="17"/>
      <c r="H114" s="17"/>
      <c r="I114" s="17"/>
      <c r="J114" s="16"/>
      <c r="K114" s="17"/>
      <c r="L114" s="17"/>
      <c r="M114" s="17"/>
      <c r="N114" s="17"/>
      <c r="O114" s="17"/>
      <c r="P114" s="16"/>
      <c r="Q114" s="16"/>
      <c r="R114" s="17"/>
      <c r="S114" s="18" t="str">
        <f aca="false">IF($A114="","",IF(F114=0,0,G114/F114))</f>
        <v/>
      </c>
      <c r="T114" s="19" t="str">
        <f aca="false">IF($A114="","",MEDIAN(0,0.6*(S114*100)+0.4*H114,100))</f>
        <v/>
      </c>
      <c r="U114" s="19" t="str">
        <f aca="false">IF($A114="","",MEDIAN(0,IF(J114="Sim",45,0)+MEDIAN(0,K114*10,30)+MEDIAN(0,25-I114/3,25),100))</f>
        <v/>
      </c>
      <c r="V114" s="19" t="str">
        <f aca="false">IF($A114="","",MEDIAN(0,0.5*N114+0.3*MEDIAN(0,100-L114*12,100)+0.2*MEDIAN(0,100-M114*40,100),100))</f>
        <v/>
      </c>
      <c r="W114" s="19" t="str">
        <f aca="false">IF($A114="","",MEDIAN(0,IF(P114="Em dia",60,20)+IF(E114&gt;=D114,40,IF(E114&gt;=D114*0.85,20,0)),100))</f>
        <v/>
      </c>
      <c r="X114" s="19" t="str">
        <f aca="false">IF($A114="","",MEDIAN(0,(O114+100)/2,100))</f>
        <v/>
      </c>
      <c r="Y114" s="20" t="str">
        <f aca="false">IF($A114="","",ROUND(0.35*T114+0.2*U114+0.2*V114+0.15*W114+0.1*X114,0))</f>
        <v/>
      </c>
      <c r="Z114" s="20" t="str">
        <f aca="false">IF($A114="","",ROUND(MEDIAN(0,(1-S114)*25+IF(H114&lt;40,15,IF(H114&lt;60,7,0))+IF(J114="Sim",0,18)+IF(K114&lt;=1,10,0)+MEDIAN(0,I114/4,18)+M114*8+IF(E114&lt;D114,12,0)+IF(P114="Atrasado",10,0)+IF(O114&lt;0,8,0),100),0))</f>
        <v/>
      </c>
      <c r="AA114" s="19" t="str">
        <f aca="false">IF(N114="","",IF(OR(E114=0,Y114&lt;45,Z114&gt;=65,AND(R114&lt;=60,Y114&lt;60,E114&gt;0)),"Vermelho",IF(OR(AND(Y114&gt;=45,Y114&lt;70),AND(Z114&gt;=45,Z114&lt;65)),"Amarelo","Verde")))</f>
        <v/>
      </c>
      <c r="AB114" s="19" t="str">
        <f aca="false">IF($A114="","",IF(AND(E114&gt;0,OR(S114&gt;=0.85,AND(Y114&gt;=75,O114&gt;=8,E114&gt;=D114,S114&gt;=0.7))),"Sim","Não"))</f>
        <v/>
      </c>
      <c r="AC114" s="21" t="str">
        <f aca="false">IF($A114="","",IF(AB114="Sim",ROUND(E114*0.25,0),0))</f>
        <v/>
      </c>
    </row>
    <row r="115" customFormat="false" ht="15" hidden="false" customHeight="false" outlineLevel="0" collapsed="false">
      <c r="A115" s="10"/>
      <c r="B115" s="10"/>
      <c r="C115" s="10"/>
      <c r="D115" s="11"/>
      <c r="E115" s="11"/>
      <c r="F115" s="11"/>
      <c r="G115" s="11"/>
      <c r="H115" s="11"/>
      <c r="I115" s="11"/>
      <c r="J115" s="10"/>
      <c r="K115" s="11"/>
      <c r="L115" s="11"/>
      <c r="M115" s="11"/>
      <c r="N115" s="11"/>
      <c r="O115" s="11"/>
      <c r="P115" s="10"/>
      <c r="Q115" s="10"/>
      <c r="R115" s="11"/>
      <c r="S115" s="12" t="str">
        <f aca="false">IF($A115="","",IF(F115=0,0,G115/F115))</f>
        <v/>
      </c>
      <c r="T115" s="13" t="str">
        <f aca="false">IF($A115="","",MEDIAN(0,0.6*(S115*100)+0.4*H115,100))</f>
        <v/>
      </c>
      <c r="U115" s="13" t="str">
        <f aca="false">IF($A115="","",MEDIAN(0,IF(J115="Sim",45,0)+MEDIAN(0,K115*10,30)+MEDIAN(0,25-I115/3,25),100))</f>
        <v/>
      </c>
      <c r="V115" s="13" t="str">
        <f aca="false">IF($A115="","",MEDIAN(0,0.5*N115+0.3*MEDIAN(0,100-L115*12,100)+0.2*MEDIAN(0,100-M115*40,100),100))</f>
        <v/>
      </c>
      <c r="W115" s="13" t="str">
        <f aca="false">IF($A115="","",MEDIAN(0,IF(P115="Em dia",60,20)+IF(E115&gt;=D115,40,IF(E115&gt;=D115*0.85,20,0)),100))</f>
        <v/>
      </c>
      <c r="X115" s="13" t="str">
        <f aca="false">IF($A115="","",MEDIAN(0,(O115+100)/2,100))</f>
        <v/>
      </c>
      <c r="Y115" s="14" t="str">
        <f aca="false">IF($A115="","",ROUND(0.35*T115+0.2*U115+0.2*V115+0.15*W115+0.1*X115,0))</f>
        <v/>
      </c>
      <c r="Z115" s="14" t="str">
        <f aca="false">IF($A115="","",ROUND(MEDIAN(0,(1-S115)*25+IF(H115&lt;40,15,IF(H115&lt;60,7,0))+IF(J115="Sim",0,18)+IF(K115&lt;=1,10,0)+MEDIAN(0,I115/4,18)+M115*8+IF(E115&lt;D115,12,0)+IF(P115="Atrasado",10,0)+IF(O115&lt;0,8,0),100),0))</f>
        <v/>
      </c>
      <c r="AA115" s="13" t="str">
        <f aca="false">IF(N115="","",IF(OR(E115=0,Y115&lt;45,Z115&gt;=65,AND(R115&lt;=60,Y115&lt;60,E115&gt;0)),"Vermelho",IF(OR(AND(Y115&gt;=45,Y115&lt;70),AND(Z115&gt;=45,Z115&lt;65)),"Amarelo","Verde")))</f>
        <v/>
      </c>
      <c r="AB115" s="13" t="str">
        <f aca="false">IF($A115="","",IF(AND(E115&gt;0,OR(S115&gt;=0.85,AND(Y115&gt;=75,O115&gt;=8,E115&gt;=D115,S115&gt;=0.7))),"Sim","Não"))</f>
        <v/>
      </c>
      <c r="AC115" s="15" t="str">
        <f aca="false">IF($A115="","",IF(AB115="Sim",ROUND(E115*0.25,0),0))</f>
        <v/>
      </c>
    </row>
    <row r="116" customFormat="false" ht="15" hidden="false" customHeight="false" outlineLevel="0" collapsed="false">
      <c r="A116" s="16"/>
      <c r="B116" s="16"/>
      <c r="C116" s="16"/>
      <c r="D116" s="17"/>
      <c r="E116" s="17"/>
      <c r="F116" s="17"/>
      <c r="G116" s="17"/>
      <c r="H116" s="17"/>
      <c r="I116" s="17"/>
      <c r="J116" s="16"/>
      <c r="K116" s="17"/>
      <c r="L116" s="17"/>
      <c r="M116" s="17"/>
      <c r="N116" s="17"/>
      <c r="O116" s="17"/>
      <c r="P116" s="16"/>
      <c r="Q116" s="16"/>
      <c r="R116" s="17"/>
      <c r="S116" s="18" t="str">
        <f aca="false">IF($A116="","",IF(F116=0,0,G116/F116))</f>
        <v/>
      </c>
      <c r="T116" s="19" t="str">
        <f aca="false">IF($A116="","",MEDIAN(0,0.6*(S116*100)+0.4*H116,100))</f>
        <v/>
      </c>
      <c r="U116" s="19" t="str">
        <f aca="false">IF($A116="","",MEDIAN(0,IF(J116="Sim",45,0)+MEDIAN(0,K116*10,30)+MEDIAN(0,25-I116/3,25),100))</f>
        <v/>
      </c>
      <c r="V116" s="19" t="str">
        <f aca="false">IF($A116="","",MEDIAN(0,0.5*N116+0.3*MEDIAN(0,100-L116*12,100)+0.2*MEDIAN(0,100-M116*40,100),100))</f>
        <v/>
      </c>
      <c r="W116" s="19" t="str">
        <f aca="false">IF($A116="","",MEDIAN(0,IF(P116="Em dia",60,20)+IF(E116&gt;=D116,40,IF(E116&gt;=D116*0.85,20,0)),100))</f>
        <v/>
      </c>
      <c r="X116" s="19" t="str">
        <f aca="false">IF($A116="","",MEDIAN(0,(O116+100)/2,100))</f>
        <v/>
      </c>
      <c r="Y116" s="20" t="str">
        <f aca="false">IF($A116="","",ROUND(0.35*T116+0.2*U116+0.2*V116+0.15*W116+0.1*X116,0))</f>
        <v/>
      </c>
      <c r="Z116" s="20" t="str">
        <f aca="false">IF($A116="","",ROUND(MEDIAN(0,(1-S116)*25+IF(H116&lt;40,15,IF(H116&lt;60,7,0))+IF(J116="Sim",0,18)+IF(K116&lt;=1,10,0)+MEDIAN(0,I116/4,18)+M116*8+IF(E116&lt;D116,12,0)+IF(P116="Atrasado",10,0)+IF(O116&lt;0,8,0),100),0))</f>
        <v/>
      </c>
      <c r="AA116" s="19" t="str">
        <f aca="false">IF(N116="","",IF(OR(E116=0,Y116&lt;45,Z116&gt;=65,AND(R116&lt;=60,Y116&lt;60,E116&gt;0)),"Vermelho",IF(OR(AND(Y116&gt;=45,Y116&lt;70),AND(Z116&gt;=45,Z116&lt;65)),"Amarelo","Verde")))</f>
        <v/>
      </c>
      <c r="AB116" s="19" t="str">
        <f aca="false">IF($A116="","",IF(AND(E116&gt;0,OR(S116&gt;=0.85,AND(Y116&gt;=75,O116&gt;=8,E116&gt;=D116,S116&gt;=0.7))),"Sim","Não"))</f>
        <v/>
      </c>
      <c r="AC116" s="21" t="str">
        <f aca="false">IF($A116="","",IF(AB116="Sim",ROUND(E116*0.25,0),0))</f>
        <v/>
      </c>
    </row>
    <row r="117" customFormat="false" ht="15" hidden="false" customHeight="false" outlineLevel="0" collapsed="false">
      <c r="A117" s="10"/>
      <c r="B117" s="10"/>
      <c r="C117" s="10"/>
      <c r="D117" s="11"/>
      <c r="E117" s="11"/>
      <c r="F117" s="11"/>
      <c r="G117" s="11"/>
      <c r="H117" s="11"/>
      <c r="I117" s="11"/>
      <c r="J117" s="10"/>
      <c r="K117" s="11"/>
      <c r="L117" s="11"/>
      <c r="M117" s="11"/>
      <c r="N117" s="11"/>
      <c r="O117" s="11"/>
      <c r="P117" s="10"/>
      <c r="Q117" s="10"/>
      <c r="R117" s="11"/>
      <c r="S117" s="12" t="str">
        <f aca="false">IF($A117="","",IF(F117=0,0,G117/F117))</f>
        <v/>
      </c>
      <c r="T117" s="13" t="str">
        <f aca="false">IF($A117="","",MEDIAN(0,0.6*(S117*100)+0.4*H117,100))</f>
        <v/>
      </c>
      <c r="U117" s="13" t="str">
        <f aca="false">IF($A117="","",MEDIAN(0,IF(J117="Sim",45,0)+MEDIAN(0,K117*10,30)+MEDIAN(0,25-I117/3,25),100))</f>
        <v/>
      </c>
      <c r="V117" s="13" t="str">
        <f aca="false">IF($A117="","",MEDIAN(0,0.5*N117+0.3*MEDIAN(0,100-L117*12,100)+0.2*MEDIAN(0,100-M117*40,100),100))</f>
        <v/>
      </c>
      <c r="W117" s="13" t="str">
        <f aca="false">IF($A117="","",MEDIAN(0,IF(P117="Em dia",60,20)+IF(E117&gt;=D117,40,IF(E117&gt;=D117*0.85,20,0)),100))</f>
        <v/>
      </c>
      <c r="X117" s="13" t="str">
        <f aca="false">IF($A117="","",MEDIAN(0,(O117+100)/2,100))</f>
        <v/>
      </c>
      <c r="Y117" s="14" t="str">
        <f aca="false">IF($A117="","",ROUND(0.35*T117+0.2*U117+0.2*V117+0.15*W117+0.1*X117,0))</f>
        <v/>
      </c>
      <c r="Z117" s="14" t="str">
        <f aca="false">IF($A117="","",ROUND(MEDIAN(0,(1-S117)*25+IF(H117&lt;40,15,IF(H117&lt;60,7,0))+IF(J117="Sim",0,18)+IF(K117&lt;=1,10,0)+MEDIAN(0,I117/4,18)+M117*8+IF(E117&lt;D117,12,0)+IF(P117="Atrasado",10,0)+IF(O117&lt;0,8,0),100),0))</f>
        <v/>
      </c>
      <c r="AA117" s="13" t="str">
        <f aca="false">IF(N117="","",IF(OR(E117=0,Y117&lt;45,Z117&gt;=65,AND(R117&lt;=60,Y117&lt;60,E117&gt;0)),"Vermelho",IF(OR(AND(Y117&gt;=45,Y117&lt;70),AND(Z117&gt;=45,Z117&lt;65)),"Amarelo","Verde")))</f>
        <v/>
      </c>
      <c r="AB117" s="13" t="str">
        <f aca="false">IF($A117="","",IF(AND(E117&gt;0,OR(S117&gt;=0.85,AND(Y117&gt;=75,O117&gt;=8,E117&gt;=D117,S117&gt;=0.7))),"Sim","Não"))</f>
        <v/>
      </c>
      <c r="AC117" s="15" t="str">
        <f aca="false">IF($A117="","",IF(AB117="Sim",ROUND(E117*0.25,0),0))</f>
        <v/>
      </c>
    </row>
    <row r="118" customFormat="false" ht="15" hidden="false" customHeight="false" outlineLevel="0" collapsed="false">
      <c r="A118" s="16"/>
      <c r="B118" s="16"/>
      <c r="C118" s="16"/>
      <c r="D118" s="17"/>
      <c r="E118" s="17"/>
      <c r="F118" s="17"/>
      <c r="G118" s="17"/>
      <c r="H118" s="17"/>
      <c r="I118" s="17"/>
      <c r="J118" s="16"/>
      <c r="K118" s="17"/>
      <c r="L118" s="17"/>
      <c r="M118" s="17"/>
      <c r="N118" s="17"/>
      <c r="O118" s="17"/>
      <c r="P118" s="16"/>
      <c r="Q118" s="16"/>
      <c r="R118" s="17"/>
      <c r="S118" s="18" t="str">
        <f aca="false">IF($A118="","",IF(F118=0,0,G118/F118))</f>
        <v/>
      </c>
      <c r="T118" s="19" t="str">
        <f aca="false">IF($A118="","",MEDIAN(0,0.6*(S118*100)+0.4*H118,100))</f>
        <v/>
      </c>
      <c r="U118" s="19" t="str">
        <f aca="false">IF($A118="","",MEDIAN(0,IF(J118="Sim",45,0)+MEDIAN(0,K118*10,30)+MEDIAN(0,25-I118/3,25),100))</f>
        <v/>
      </c>
      <c r="V118" s="19" t="str">
        <f aca="false">IF($A118="","",MEDIAN(0,0.5*N118+0.3*MEDIAN(0,100-L118*12,100)+0.2*MEDIAN(0,100-M118*40,100),100))</f>
        <v/>
      </c>
      <c r="W118" s="19" t="str">
        <f aca="false">IF($A118="","",MEDIAN(0,IF(P118="Em dia",60,20)+IF(E118&gt;=D118,40,IF(E118&gt;=D118*0.85,20,0)),100))</f>
        <v/>
      </c>
      <c r="X118" s="19" t="str">
        <f aca="false">IF($A118="","",MEDIAN(0,(O118+100)/2,100))</f>
        <v/>
      </c>
      <c r="Y118" s="20" t="str">
        <f aca="false">IF($A118="","",ROUND(0.35*T118+0.2*U118+0.2*V118+0.15*W118+0.1*X118,0))</f>
        <v/>
      </c>
      <c r="Z118" s="20" t="str">
        <f aca="false">IF($A118="","",ROUND(MEDIAN(0,(1-S118)*25+IF(H118&lt;40,15,IF(H118&lt;60,7,0))+IF(J118="Sim",0,18)+IF(K118&lt;=1,10,0)+MEDIAN(0,I118/4,18)+M118*8+IF(E118&lt;D118,12,0)+IF(P118="Atrasado",10,0)+IF(O118&lt;0,8,0),100),0))</f>
        <v/>
      </c>
      <c r="AA118" s="19" t="str">
        <f aca="false">IF(N118="","",IF(OR(E118=0,Y118&lt;45,Z118&gt;=65,AND(R118&lt;=60,Y118&lt;60,E118&gt;0)),"Vermelho",IF(OR(AND(Y118&gt;=45,Y118&lt;70),AND(Z118&gt;=45,Z118&lt;65)),"Amarelo","Verde")))</f>
        <v/>
      </c>
      <c r="AB118" s="19" t="str">
        <f aca="false">IF($A118="","",IF(AND(E118&gt;0,OR(S118&gt;=0.85,AND(Y118&gt;=75,O118&gt;=8,E118&gt;=D118,S118&gt;=0.7))),"Sim","Não"))</f>
        <v/>
      </c>
      <c r="AC118" s="21" t="str">
        <f aca="false">IF($A118="","",IF(AB118="Sim",ROUND(E118*0.25,0),0))</f>
        <v/>
      </c>
    </row>
    <row r="119" customFormat="false" ht="15" hidden="false" customHeight="false" outlineLevel="0" collapsed="false">
      <c r="A119" s="10"/>
      <c r="B119" s="10"/>
      <c r="C119" s="10"/>
      <c r="D119" s="11"/>
      <c r="E119" s="11"/>
      <c r="F119" s="11"/>
      <c r="G119" s="11"/>
      <c r="H119" s="11"/>
      <c r="I119" s="11"/>
      <c r="J119" s="10"/>
      <c r="K119" s="11"/>
      <c r="L119" s="11"/>
      <c r="M119" s="11"/>
      <c r="N119" s="11"/>
      <c r="O119" s="11"/>
      <c r="P119" s="10"/>
      <c r="Q119" s="10"/>
      <c r="R119" s="11"/>
      <c r="S119" s="12" t="str">
        <f aca="false">IF($A119="","",IF(F119=0,0,G119/F119))</f>
        <v/>
      </c>
      <c r="T119" s="13" t="str">
        <f aca="false">IF($A119="","",MEDIAN(0,0.6*(S119*100)+0.4*H119,100))</f>
        <v/>
      </c>
      <c r="U119" s="13" t="str">
        <f aca="false">IF($A119="","",MEDIAN(0,IF(J119="Sim",45,0)+MEDIAN(0,K119*10,30)+MEDIAN(0,25-I119/3,25),100))</f>
        <v/>
      </c>
      <c r="V119" s="13" t="str">
        <f aca="false">IF($A119="","",MEDIAN(0,0.5*N119+0.3*MEDIAN(0,100-L119*12,100)+0.2*MEDIAN(0,100-M119*40,100),100))</f>
        <v/>
      </c>
      <c r="W119" s="13" t="str">
        <f aca="false">IF($A119="","",MEDIAN(0,IF(P119="Em dia",60,20)+IF(E119&gt;=D119,40,IF(E119&gt;=D119*0.85,20,0)),100))</f>
        <v/>
      </c>
      <c r="X119" s="13" t="str">
        <f aca="false">IF($A119="","",MEDIAN(0,(O119+100)/2,100))</f>
        <v/>
      </c>
      <c r="Y119" s="14" t="str">
        <f aca="false">IF($A119="","",ROUND(0.35*T119+0.2*U119+0.2*V119+0.15*W119+0.1*X119,0))</f>
        <v/>
      </c>
      <c r="Z119" s="14" t="str">
        <f aca="false">IF($A119="","",ROUND(MEDIAN(0,(1-S119)*25+IF(H119&lt;40,15,IF(H119&lt;60,7,0))+IF(J119="Sim",0,18)+IF(K119&lt;=1,10,0)+MEDIAN(0,I119/4,18)+M119*8+IF(E119&lt;D119,12,0)+IF(P119="Atrasado",10,0)+IF(O119&lt;0,8,0),100),0))</f>
        <v/>
      </c>
      <c r="AA119" s="13" t="str">
        <f aca="false">IF(N119="","",IF(OR(E119=0,Y119&lt;45,Z119&gt;=65,AND(R119&lt;=60,Y119&lt;60,E119&gt;0)),"Vermelho",IF(OR(AND(Y119&gt;=45,Y119&lt;70),AND(Z119&gt;=45,Z119&lt;65)),"Amarelo","Verde")))</f>
        <v/>
      </c>
      <c r="AB119" s="13" t="str">
        <f aca="false">IF($A119="","",IF(AND(E119&gt;0,OR(S119&gt;=0.85,AND(Y119&gt;=75,O119&gt;=8,E119&gt;=D119,S119&gt;=0.7))),"Sim","Não"))</f>
        <v/>
      </c>
      <c r="AC119" s="15" t="str">
        <f aca="false">IF($A119="","",IF(AB119="Sim",ROUND(E119*0.25,0),0))</f>
        <v/>
      </c>
    </row>
    <row r="120" customFormat="false" ht="15" hidden="false" customHeight="false" outlineLevel="0" collapsed="false">
      <c r="A120" s="16"/>
      <c r="B120" s="16"/>
      <c r="C120" s="16"/>
      <c r="D120" s="17"/>
      <c r="E120" s="17"/>
      <c r="F120" s="17"/>
      <c r="G120" s="17"/>
      <c r="H120" s="17"/>
      <c r="I120" s="17"/>
      <c r="J120" s="16"/>
      <c r="K120" s="17"/>
      <c r="L120" s="17"/>
      <c r="M120" s="17"/>
      <c r="N120" s="17"/>
      <c r="O120" s="17"/>
      <c r="P120" s="16"/>
      <c r="Q120" s="16"/>
      <c r="R120" s="17"/>
      <c r="S120" s="18" t="str">
        <f aca="false">IF($A120="","",IF(F120=0,0,G120/F120))</f>
        <v/>
      </c>
      <c r="T120" s="19" t="str">
        <f aca="false">IF($A120="","",MEDIAN(0,0.6*(S120*100)+0.4*H120,100))</f>
        <v/>
      </c>
      <c r="U120" s="19" t="str">
        <f aca="false">IF($A120="","",MEDIAN(0,IF(J120="Sim",45,0)+MEDIAN(0,K120*10,30)+MEDIAN(0,25-I120/3,25),100))</f>
        <v/>
      </c>
      <c r="V120" s="19" t="str">
        <f aca="false">IF($A120="","",MEDIAN(0,0.5*N120+0.3*MEDIAN(0,100-L120*12,100)+0.2*MEDIAN(0,100-M120*40,100),100))</f>
        <v/>
      </c>
      <c r="W120" s="19" t="str">
        <f aca="false">IF($A120="","",MEDIAN(0,IF(P120="Em dia",60,20)+IF(E120&gt;=D120,40,IF(E120&gt;=D120*0.85,20,0)),100))</f>
        <v/>
      </c>
      <c r="X120" s="19" t="str">
        <f aca="false">IF($A120="","",MEDIAN(0,(O120+100)/2,100))</f>
        <v/>
      </c>
      <c r="Y120" s="20" t="str">
        <f aca="false">IF($A120="","",ROUND(0.35*T120+0.2*U120+0.2*V120+0.15*W120+0.1*X120,0))</f>
        <v/>
      </c>
      <c r="Z120" s="20" t="str">
        <f aca="false">IF($A120="","",ROUND(MEDIAN(0,(1-S120)*25+IF(H120&lt;40,15,IF(H120&lt;60,7,0))+IF(J120="Sim",0,18)+IF(K120&lt;=1,10,0)+MEDIAN(0,I120/4,18)+M120*8+IF(E120&lt;D120,12,0)+IF(P120="Atrasado",10,0)+IF(O120&lt;0,8,0),100),0))</f>
        <v/>
      </c>
      <c r="AA120" s="19" t="str">
        <f aca="false">IF(N120="","",IF(OR(E120=0,Y120&lt;45,Z120&gt;=65,AND(R120&lt;=60,Y120&lt;60,E120&gt;0)),"Vermelho",IF(OR(AND(Y120&gt;=45,Y120&lt;70),AND(Z120&gt;=45,Z120&lt;65)),"Amarelo","Verde")))</f>
        <v/>
      </c>
      <c r="AB120" s="19" t="str">
        <f aca="false">IF($A120="","",IF(AND(E120&gt;0,OR(S120&gt;=0.85,AND(Y120&gt;=75,O120&gt;=8,E120&gt;=D120,S120&gt;=0.7))),"Sim","Não"))</f>
        <v/>
      </c>
      <c r="AC120" s="21" t="str">
        <f aca="false">IF($A120="","",IF(AB120="Sim",ROUND(E120*0.25,0),0))</f>
        <v/>
      </c>
    </row>
    <row r="121" customFormat="false" ht="15" hidden="false" customHeight="false" outlineLevel="0" collapsed="false">
      <c r="A121" s="10"/>
      <c r="B121" s="10"/>
      <c r="C121" s="10"/>
      <c r="D121" s="11"/>
      <c r="E121" s="11"/>
      <c r="F121" s="11"/>
      <c r="G121" s="11"/>
      <c r="H121" s="11"/>
      <c r="I121" s="11"/>
      <c r="J121" s="10"/>
      <c r="K121" s="11"/>
      <c r="L121" s="11"/>
      <c r="M121" s="11"/>
      <c r="N121" s="11"/>
      <c r="O121" s="11"/>
      <c r="P121" s="10"/>
      <c r="Q121" s="10"/>
      <c r="R121" s="11"/>
      <c r="S121" s="12" t="str">
        <f aca="false">IF($A121="","",IF(F121=0,0,G121/F121))</f>
        <v/>
      </c>
      <c r="T121" s="13" t="str">
        <f aca="false">IF($A121="","",MEDIAN(0,0.6*(S121*100)+0.4*H121,100))</f>
        <v/>
      </c>
      <c r="U121" s="13" t="str">
        <f aca="false">IF($A121="","",MEDIAN(0,IF(J121="Sim",45,0)+MEDIAN(0,K121*10,30)+MEDIAN(0,25-I121/3,25),100))</f>
        <v/>
      </c>
      <c r="V121" s="13" t="str">
        <f aca="false">IF($A121="","",MEDIAN(0,0.5*N121+0.3*MEDIAN(0,100-L121*12,100)+0.2*MEDIAN(0,100-M121*40,100),100))</f>
        <v/>
      </c>
      <c r="W121" s="13" t="str">
        <f aca="false">IF($A121="","",MEDIAN(0,IF(P121="Em dia",60,20)+IF(E121&gt;=D121,40,IF(E121&gt;=D121*0.85,20,0)),100))</f>
        <v/>
      </c>
      <c r="X121" s="13" t="str">
        <f aca="false">IF($A121="","",MEDIAN(0,(O121+100)/2,100))</f>
        <v/>
      </c>
      <c r="Y121" s="14" t="str">
        <f aca="false">IF($A121="","",ROUND(0.35*T121+0.2*U121+0.2*V121+0.15*W121+0.1*X121,0))</f>
        <v/>
      </c>
      <c r="Z121" s="14" t="str">
        <f aca="false">IF($A121="","",ROUND(MEDIAN(0,(1-S121)*25+IF(H121&lt;40,15,IF(H121&lt;60,7,0))+IF(J121="Sim",0,18)+IF(K121&lt;=1,10,0)+MEDIAN(0,I121/4,18)+M121*8+IF(E121&lt;D121,12,0)+IF(P121="Atrasado",10,0)+IF(O121&lt;0,8,0),100),0))</f>
        <v/>
      </c>
      <c r="AA121" s="13" t="str">
        <f aca="false">IF(N121="","",IF(OR(E121=0,Y121&lt;45,Z121&gt;=65,AND(R121&lt;=60,Y121&lt;60,E121&gt;0)),"Vermelho",IF(OR(AND(Y121&gt;=45,Y121&lt;70),AND(Z121&gt;=45,Z121&lt;65)),"Amarelo","Verde")))</f>
        <v/>
      </c>
      <c r="AB121" s="13" t="str">
        <f aca="false">IF($A121="","",IF(AND(E121&gt;0,OR(S121&gt;=0.85,AND(Y121&gt;=75,O121&gt;=8,E121&gt;=D121,S121&gt;=0.7))),"Sim","Não"))</f>
        <v/>
      </c>
      <c r="AC121" s="15" t="str">
        <f aca="false">IF($A121="","",IF(AB121="Sim",ROUND(E121*0.25,0),0))</f>
        <v/>
      </c>
    </row>
    <row r="122" customFormat="false" ht="15" hidden="false" customHeight="false" outlineLevel="0" collapsed="false">
      <c r="A122" s="16"/>
      <c r="B122" s="16"/>
      <c r="C122" s="16"/>
      <c r="D122" s="17"/>
      <c r="E122" s="17"/>
      <c r="F122" s="17"/>
      <c r="G122" s="17"/>
      <c r="H122" s="17"/>
      <c r="I122" s="17"/>
      <c r="J122" s="16"/>
      <c r="K122" s="17"/>
      <c r="L122" s="17"/>
      <c r="M122" s="17"/>
      <c r="N122" s="17"/>
      <c r="O122" s="17"/>
      <c r="P122" s="16"/>
      <c r="Q122" s="16"/>
      <c r="R122" s="17"/>
      <c r="S122" s="18" t="str">
        <f aca="false">IF($A122="","",IF(F122=0,0,G122/F122))</f>
        <v/>
      </c>
      <c r="T122" s="19" t="str">
        <f aca="false">IF($A122="","",MEDIAN(0,0.6*(S122*100)+0.4*H122,100))</f>
        <v/>
      </c>
      <c r="U122" s="19" t="str">
        <f aca="false">IF($A122="","",MEDIAN(0,IF(J122="Sim",45,0)+MEDIAN(0,K122*10,30)+MEDIAN(0,25-I122/3,25),100))</f>
        <v/>
      </c>
      <c r="V122" s="19" t="str">
        <f aca="false">IF($A122="","",MEDIAN(0,0.5*N122+0.3*MEDIAN(0,100-L122*12,100)+0.2*MEDIAN(0,100-M122*40,100),100))</f>
        <v/>
      </c>
      <c r="W122" s="19" t="str">
        <f aca="false">IF($A122="","",MEDIAN(0,IF(P122="Em dia",60,20)+IF(E122&gt;=D122,40,IF(E122&gt;=D122*0.85,20,0)),100))</f>
        <v/>
      </c>
      <c r="X122" s="19" t="str">
        <f aca="false">IF($A122="","",MEDIAN(0,(O122+100)/2,100))</f>
        <v/>
      </c>
      <c r="Y122" s="20" t="str">
        <f aca="false">IF($A122="","",ROUND(0.35*T122+0.2*U122+0.2*V122+0.15*W122+0.1*X122,0))</f>
        <v/>
      </c>
      <c r="Z122" s="20" t="str">
        <f aca="false">IF($A122="","",ROUND(MEDIAN(0,(1-S122)*25+IF(H122&lt;40,15,IF(H122&lt;60,7,0))+IF(J122="Sim",0,18)+IF(K122&lt;=1,10,0)+MEDIAN(0,I122/4,18)+M122*8+IF(E122&lt;D122,12,0)+IF(P122="Atrasado",10,0)+IF(O122&lt;0,8,0),100),0))</f>
        <v/>
      </c>
      <c r="AA122" s="19" t="str">
        <f aca="false">IF(N122="","",IF(OR(E122=0,Y122&lt;45,Z122&gt;=65,AND(R122&lt;=60,Y122&lt;60,E122&gt;0)),"Vermelho",IF(OR(AND(Y122&gt;=45,Y122&lt;70),AND(Z122&gt;=45,Z122&lt;65)),"Amarelo","Verde")))</f>
        <v/>
      </c>
      <c r="AB122" s="19" t="str">
        <f aca="false">IF($A122="","",IF(AND(E122&gt;0,OR(S122&gt;=0.85,AND(Y122&gt;=75,O122&gt;=8,E122&gt;=D122,S122&gt;=0.7))),"Sim","Não"))</f>
        <v/>
      </c>
      <c r="AC122" s="21" t="str">
        <f aca="false">IF($A122="","",IF(AB122="Sim",ROUND(E122*0.25,0),0))</f>
        <v/>
      </c>
    </row>
  </sheetData>
  <mergeCells count="1">
    <mergeCell ref="A1:AC1"/>
  </mergeCells>
  <conditionalFormatting sqref="AA3:AA122">
    <cfRule type="cellIs" priority="2" operator="equal" aboveAverage="0" equalAverage="0" bottom="0" percent="0" rank="0" text="" dxfId="0">
      <formula>"Vermelho"</formula>
    </cfRule>
    <cfRule type="cellIs" priority="3" operator="equal" aboveAverage="0" equalAverage="0" bottom="0" percent="0" rank="0" text="" dxfId="1">
      <formula>"Amarelo"</formula>
    </cfRule>
    <cfRule type="cellIs" priority="4" operator="equal" aboveAverage="0" equalAverage="0" bottom="0" percent="0" rank="0" text="" dxfId="2">
      <formula>"Verde"</formula>
    </cfRule>
  </conditionalFormatting>
  <dataValidations count="3">
    <dataValidation allowBlank="true" errorStyle="stop" operator="between" showDropDown="false" showErrorMessage="false" showInputMessage="false" sqref="J3:J122" type="list">
      <formula1>"Sim,Não"</formula1>
      <formula2>0</formula2>
    </dataValidation>
    <dataValidation allowBlank="true" errorStyle="stop" operator="between" showDropDown="false" showErrorMessage="false" showInputMessage="false" sqref="P3:P122" type="list">
      <formula1>"Em dia,Atrasado"</formula1>
      <formula2>0</formula2>
    </dataValidation>
    <dataValidation allowBlank="true" errorStyle="stop" operator="between" showDropDown="false" showErrorMessage="false" showInputMessage="false" sqref="Q3:Q122" type="list">
      <formula1>"Onboarding,Adoção,Engajamento,Expansão,Renovação,Advocacia,Churn"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46"/>
  </cols>
  <sheetData>
    <row r="2" customFormat="false" ht="22.05" hidden="false" customHeight="false" outlineLevel="0" collapsed="false">
      <c r="B2" s="22" t="s">
        <v>72</v>
      </c>
    </row>
    <row r="3" customFormat="false" ht="15" hidden="false" customHeight="false" outlineLevel="0" collapsed="false">
      <c r="B3" s="23" t="s">
        <v>73</v>
      </c>
    </row>
    <row r="5" customFormat="false" ht="19.4" hidden="false" customHeight="false" outlineLevel="0" collapsed="false">
      <c r="B5" s="24" t="s">
        <v>74</v>
      </c>
      <c r="C5" s="25" t="n">
        <f aca="false">IF(SUM(Contas!D3:D122)=0,0,SUM(Contas!E3:E122)/SUM(Contas!D3:D122))</f>
        <v>1.02362204724409</v>
      </c>
      <c r="E5" s="26" t="s">
        <v>75</v>
      </c>
    </row>
    <row r="6" customFormat="false" ht="15" hidden="false" customHeight="false" outlineLevel="0" collapsed="false">
      <c r="B6" s="24" t="s">
        <v>76</v>
      </c>
      <c r="C6" s="25" t="n">
        <f aca="false">IF(SUM(Contas!D3:D122)=0,0,SUMPRODUCT((Contas!E3:E122&lt;Contas!D3:D122)*Contas!E3:E122+(Contas!E3:E122&gt;=Contas!D3:D122)*Contas!D3:D122)/SUM(Contas!D3:D122))</f>
        <v>0.960629921259843</v>
      </c>
      <c r="E6" s="26" t="s">
        <v>77</v>
      </c>
    </row>
    <row r="7" customFormat="false" ht="15" hidden="false" customHeight="false" outlineLevel="0" collapsed="false">
      <c r="B7" s="24" t="s">
        <v>78</v>
      </c>
      <c r="C7" s="25" t="n">
        <f aca="false">IF(COUNTIF(Contas!D3:D122,"&gt;0")=0,0,COUNTIFS(Contas!E3:E122,"&gt;0",Contas!D3:D122,"&gt;0")/COUNTIF(Contas!D3:D122,"&gt;0"))</f>
        <v>1</v>
      </c>
      <c r="E7" s="26" t="s">
        <v>79</v>
      </c>
    </row>
    <row r="8" customFormat="false" ht="15" hidden="false" customHeight="false" outlineLevel="0" collapsed="false">
      <c r="B8" s="24" t="s">
        <v>80</v>
      </c>
      <c r="C8" s="27" t="n">
        <f aca="false">SUMIF(Contas!E3:E122,"&gt;0")*12</f>
        <v>3120000</v>
      </c>
      <c r="E8" s="26" t="s">
        <v>81</v>
      </c>
    </row>
    <row r="9" customFormat="false" ht="15" hidden="false" customHeight="false" outlineLevel="0" collapsed="false">
      <c r="B9" s="24" t="s">
        <v>82</v>
      </c>
      <c r="C9" s="27" t="n">
        <f aca="false">SUMPRODUCT((Contas!E3:E122&gt;0)*((Contas!E3:E122-Contas!D3:D122)&gt;0)*(Contas!E3:E122-Contas!D3:D122))</f>
        <v>16000</v>
      </c>
      <c r="E9" s="26" t="s">
        <v>83</v>
      </c>
    </row>
    <row r="10" customFormat="false" ht="15" hidden="false" customHeight="false" outlineLevel="0" collapsed="false">
      <c r="B10" s="24" t="s">
        <v>84</v>
      </c>
      <c r="C10" s="27" t="n">
        <f aca="false">SUMIFS(Contas!E3:E122,Contas!AA3:AA122,"Vermelho",Contas!E3:E122,"&gt;0")*12</f>
        <v>948000</v>
      </c>
      <c r="E10" s="26" t="s">
        <v>85</v>
      </c>
    </row>
    <row r="11" customFormat="false" ht="15" hidden="false" customHeight="false" outlineLevel="0" collapsed="false">
      <c r="B11" s="24" t="s">
        <v>86</v>
      </c>
      <c r="C11" s="28" t="n">
        <f aca="false">IFERROR(AVERAGEIFS(Contas!Y3:Y122,Contas!E3:E122,"&gt;0"),0)</f>
        <v>70.1666666666667</v>
      </c>
      <c r="E11" s="26" t="s">
        <v>87</v>
      </c>
    </row>
    <row r="12" customFormat="false" ht="15" hidden="false" customHeight="false" outlineLevel="0" collapsed="false">
      <c r="B12" s="24" t="s">
        <v>88</v>
      </c>
      <c r="C12" s="28" t="n">
        <f aca="false">COUNTIFS(Contas!AA3:AA122,"Verde",Contas!E3:E122,"&gt;0")</f>
        <v>8</v>
      </c>
      <c r="E12" s="26"/>
    </row>
    <row r="13" customFormat="false" ht="15" hidden="false" customHeight="false" outlineLevel="0" collapsed="false">
      <c r="B13" s="24" t="s">
        <v>89</v>
      </c>
      <c r="C13" s="28" t="n">
        <f aca="false">COUNTIFS(Contas!AA3:AA122,"Amarelo",Contas!E3:E122,"&gt;0")</f>
        <v>0</v>
      </c>
      <c r="E13" s="26"/>
    </row>
    <row r="14" customFormat="false" ht="15" hidden="false" customHeight="false" outlineLevel="0" collapsed="false">
      <c r="B14" s="24" t="s">
        <v>90</v>
      </c>
      <c r="C14" s="28" t="n">
        <f aca="false">COUNTIFS(Contas!AA3:AA122,"Vermelho",Contas!E3:E122,"&gt;0")</f>
        <v>4</v>
      </c>
      <c r="E14" s="26"/>
    </row>
    <row r="15" customFormat="false" ht="15" hidden="false" customHeight="false" outlineLevel="0" collapsed="false">
      <c r="B15" s="24" t="s">
        <v>91</v>
      </c>
      <c r="C15" s="28" t="n">
        <f aca="false">COUNTIF(Contas!AB3:AB122,"Sim")</f>
        <v>7</v>
      </c>
      <c r="E15" s="26" t="s">
        <v>92</v>
      </c>
    </row>
    <row r="16" customFormat="false" ht="15" hidden="false" customHeight="false" outlineLevel="0" collapsed="false">
      <c r="B16" s="24" t="s">
        <v>93</v>
      </c>
      <c r="C16" s="27" t="n">
        <f aca="false">SUM(Contas!AC3:AC122)*12</f>
        <v>504000</v>
      </c>
      <c r="E16" s="26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5"/>
  </cols>
  <sheetData>
    <row r="2" customFormat="false" ht="19.7" hidden="false" customHeight="false" outlineLevel="0" collapsed="false">
      <c r="B2" s="29" t="s">
        <v>95</v>
      </c>
    </row>
    <row r="3" customFormat="false" ht="15" hidden="false" customHeight="false" outlineLevel="0" collapsed="false">
      <c r="B3" s="4"/>
    </row>
    <row r="4" customFormat="false" ht="15" hidden="false" customHeight="false" outlineLevel="0" collapsed="false">
      <c r="B4" s="30" t="s">
        <v>96</v>
      </c>
    </row>
    <row r="5" customFormat="false" ht="15" hidden="false" customHeight="false" outlineLevel="0" collapsed="false">
      <c r="B5" s="4" t="s">
        <v>97</v>
      </c>
    </row>
    <row r="6" customFormat="false" ht="15" hidden="false" customHeight="false" outlineLevel="0" collapsed="false">
      <c r="B6" s="4" t="s">
        <v>98</v>
      </c>
    </row>
    <row r="7" customFormat="false" ht="15" hidden="false" customHeight="false" outlineLevel="0" collapsed="false">
      <c r="B7" s="4" t="s">
        <v>99</v>
      </c>
    </row>
    <row r="8" customFormat="false" ht="15" hidden="false" customHeight="false" outlineLevel="0" collapsed="false">
      <c r="B8" s="4" t="s">
        <v>100</v>
      </c>
    </row>
    <row r="9" customFormat="false" ht="15" hidden="false" customHeight="false" outlineLevel="0" collapsed="false">
      <c r="B9" s="4" t="s">
        <v>101</v>
      </c>
    </row>
    <row r="10" customFormat="false" ht="15" hidden="false" customHeight="false" outlineLevel="0" collapsed="false">
      <c r="B10" s="6" t="s">
        <v>102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30" t="s">
        <v>103</v>
      </c>
    </row>
    <row r="13" customFormat="false" ht="15" hidden="false" customHeight="false" outlineLevel="0" collapsed="false">
      <c r="B13" s="4" t="s">
        <v>104</v>
      </c>
    </row>
    <row r="14" customFormat="false" ht="15" hidden="false" customHeight="false" outlineLevel="0" collapsed="false">
      <c r="B14" s="4" t="s">
        <v>105</v>
      </c>
    </row>
    <row r="15" customFormat="false" ht="15" hidden="false" customHeight="false" outlineLevel="0" collapsed="false">
      <c r="B15" s="4" t="s">
        <v>106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30" t="s">
        <v>107</v>
      </c>
    </row>
    <row r="18" customFormat="false" ht="15" hidden="false" customHeight="false" outlineLevel="0" collapsed="false">
      <c r="B18" s="4" t="s">
        <v>108</v>
      </c>
    </row>
    <row r="19" customFormat="false" ht="15" hidden="false" customHeight="false" outlineLevel="0" collapsed="false">
      <c r="B19" s="4" t="s">
        <v>109</v>
      </c>
    </row>
    <row r="20" customFormat="false" ht="15" hidden="false" customHeight="false" outlineLevel="0" collapsed="false">
      <c r="B20" s="4"/>
    </row>
    <row r="21" customFormat="false" ht="15" hidden="false" customHeight="false" outlineLevel="0" collapsed="false">
      <c r="B21" s="30" t="s">
        <v>110</v>
      </c>
    </row>
    <row r="22" customFormat="false" ht="15" hidden="false" customHeight="false" outlineLevel="0" collapsed="false">
      <c r="B22" s="4" t="s">
        <v>111</v>
      </c>
    </row>
    <row r="23" customFormat="false" ht="15" hidden="false" customHeight="false" outlineLevel="0" collapsed="false">
      <c r="B23" s="4"/>
    </row>
    <row r="24" customFormat="false" ht="15" hidden="false" customHeight="false" outlineLevel="0" collapsed="false">
      <c r="B24" s="30" t="s">
        <v>112</v>
      </c>
    </row>
    <row r="25" customFormat="false" ht="15" hidden="false" customHeight="false" outlineLevel="0" collapsed="false">
      <c r="B25" s="4" t="s">
        <v>113</v>
      </c>
    </row>
    <row r="26" customFormat="false" ht="23.85" hidden="false" customHeight="false" outlineLevel="0" collapsed="false">
      <c r="B26" s="4" t="s">
        <v>114</v>
      </c>
    </row>
    <row r="27" customFormat="false" ht="15" hidden="false" customHeight="false" outlineLevel="0" collapsed="false">
      <c r="B27" s="4" t="s">
        <v>115</v>
      </c>
    </row>
    <row r="28" customFormat="false" ht="15" hidden="false" customHeight="false" outlineLevel="0" collapsed="false">
      <c r="B28" s="4" t="s">
        <v>116</v>
      </c>
    </row>
    <row r="29" customFormat="false" ht="15" hidden="false" customHeight="false" outlineLevel="0" collapsed="false">
      <c r="B29" s="4" t="s">
        <v>117</v>
      </c>
    </row>
    <row r="30" customFormat="false" ht="15" hidden="false" customHeight="false" outlineLevel="0" collapsed="false">
      <c r="B30" s="4" t="s">
        <v>118</v>
      </c>
    </row>
    <row r="31" customFormat="false" ht="15" hidden="false" customHeight="false" outlineLevel="0" collapsed="false">
      <c r="B31" s="4" t="s">
        <v>119</v>
      </c>
    </row>
    <row r="32" customFormat="false" ht="15" hidden="false" customHeight="false" outlineLevel="0" collapsed="false">
      <c r="B32" s="4"/>
    </row>
    <row r="33" customFormat="false" ht="15" hidden="false" customHeight="false" outlineLevel="0" collapsed="false">
      <c r="B33" s="6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2026-06-23T00:30:49Z</dcterms:created>
  <dc:creator>openpyxl</dc:creator>
  <dc:description/>
  <dc:language>en-US</dc:language>
  <cp:lastModifiedBy/>
  <dcterms:modified xsi:type="dcterms:W3CDTF">2026-06-23T00:30:49Z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